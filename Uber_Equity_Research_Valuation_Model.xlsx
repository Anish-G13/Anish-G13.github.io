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0fa938911540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39556ea3145f4d74"/>
    <x:sheet xmlns:r="http://schemas.openxmlformats.org/officeDocument/2006/relationships" name="Sources" sheetId="2" r:id="R34e2d3d50858498f"/>
    <x:sheet xmlns:r="http://schemas.openxmlformats.org/officeDocument/2006/relationships" name="Historical" sheetId="3" r:id="R666e05ab377e42e5"/>
    <x:sheet xmlns:r="http://schemas.openxmlformats.org/officeDocument/2006/relationships" name="Assumptions" sheetId="4" r:id="R167e6f9c6fe1441f"/>
    <x:sheet xmlns:r="http://schemas.openxmlformats.org/officeDocument/2006/relationships" name="Forecast Base" sheetId="5" r:id="Rb19465edb9474c82"/>
    <x:sheet xmlns:r="http://schemas.openxmlformats.org/officeDocument/2006/relationships" name="Forecast Bear" sheetId="6" r:id="Rf47a8065cd99419e"/>
    <x:sheet xmlns:r="http://schemas.openxmlformats.org/officeDocument/2006/relationships" name="Forecast Bull" sheetId="7" r:id="Rfe33c54e68864f74"/>
    <x:sheet xmlns:r="http://schemas.openxmlformats.org/officeDocument/2006/relationships" name="DCF &amp; Cases" sheetId="8" r:id="R90bd057454664d9e"/>
    <x:sheet xmlns:r="http://schemas.openxmlformats.org/officeDocument/2006/relationships" name="Sensitivity" sheetId="9" r:id="Rae53e51a0f4a4dbf"/>
    <x:sheet xmlns:r="http://schemas.openxmlformats.org/officeDocument/2006/relationships" name="Trading Comps" sheetId="10" r:id="R2afacbc59193451d"/>
    <x:sheet xmlns:r="http://schemas.openxmlformats.org/officeDocument/2006/relationships" name="Deal &amp; Risks" sheetId="11" r:id="Ra54e7fb6a0d04d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;[Red](0.0%);-"/>
    <x:numFmt numFmtId="201" formatCode="#,##0;[Red](#,##0);-"/>
    <x:numFmt numFmtId="202" formatCode="0.00"/>
    <x:numFmt numFmtId="203" formatCode="$0.00;[Red]($0.00);-"/>
    <x:numFmt numFmtId="204" formatCode="0.0&quot;x&quot;;[Red](0.0&quot;x&quot;);-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566579"/>
      <x:name val="Carlito"/>
    </x:font>
    <x:font>
      <x:sz val="11"/>
      <x:color rgb="FFAC4B19"/>
      <x:name val="Carlito"/>
    </x:font>
    <x:font>
      <x:b/>
      <x:sz val="11"/>
      <x:color rgb="FF000000"/>
      <x:name val="Carlito"/>
    </x:font>
    <x:font>
      <x:b/>
      <x:sz val="14"/>
      <x:color rgb="FF14263D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4263D"/>
      </x:patternFill>
    </x:fill>
    <x:fill>
      <x:patternFill patternType="solid">
        <x:fgColor rgb="FF0F766E"/>
      </x:patternFill>
    </x:fill>
    <x:fill>
      <x:patternFill patternType="solid">
        <x:fgColor rgb="FF203B56"/>
      </x:patternFill>
    </x:fill>
    <x:fill>
      <x:patternFill patternType="solid">
        <x:fgColor rgb="FFFFF2B2"/>
      </x:patternFill>
    </x:fill>
    <x:fill>
      <x:patternFill patternType="solid">
        <x:fgColor rgb="FFE8F3F1"/>
      </x:patternFill>
    </x:fill>
    <x:fill>
      <x:patternFill patternType="solid">
        <x:fgColor rgb="FFDCEEEB"/>
      </x:patternFill>
    </x:fill>
  </x:fills>
  <x:borders count="2">
    <x:border/>
    <x:border/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1" xfId="0" applyNumberFormat="1" applyFont="1" applyFill="1" applyBorder="1"/>
    <x:xf numFmtId="200" fontId="3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201" fontId="3" fillId="5" borderId="0" xfId="0" applyNumberFormat="1" applyFont="1" applyFill="1" applyBorder="1"/>
    <x:xf numFmtId="201" fontId="3" fillId="5" borderId="1" xfId="0" applyNumberFormat="1" applyFont="1" applyFill="1" applyBorder="1"/>
    <x:xf numFmtId="200" fontId="3" fillId="5" borderId="0" xfId="0" applyNumberFormat="1" applyFont="1" applyFill="1" applyBorder="1"/>
    <x:xf numFmtId="200" fontId="3" fillId="5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1" fontId="2" fillId="4" borderId="0" xfId="0" applyNumberFormat="1" applyFont="1" applyFill="1" applyBorder="1"/>
    <x:xf numFmtId="201" fontId="2" fillId="4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0" fillId="6" borderId="0" xfId="0" applyNumberFormat="1" applyFont="1" applyFill="1" applyBorder="1"/>
    <x:xf numFmtId="201" fontId="0" fillId="6" borderId="1" xfId="0" applyNumberFormat="1" applyFont="1" applyFill="1" applyBorder="1"/>
    <x:xf numFmtId="201" fontId="0" fillId="7" borderId="0" xfId="0" applyNumberFormat="1" applyFont="1" applyFill="1" applyBorder="1"/>
    <x:xf numFmtId="201" fontId="6" fillId="7" borderId="0" xfId="0" applyNumberFormat="1" applyFont="1" applyFill="1" applyBorder="1"/>
    <x:xf numFmtId="201" fontId="0" fillId="7" borderId="1" xfId="0" applyNumberFormat="1" applyFont="1" applyFill="1" applyBorder="1"/>
    <x:xf numFmtId="201" fontId="6" fillId="7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3" fontId="0" fillId="6" borderId="0" xfId="0" applyNumberFormat="1" applyFont="1" applyFill="1" applyBorder="1"/>
    <x:xf numFmtId="203" fontId="7" fillId="6" borderId="0" xfId="0" applyNumberFormat="1" applyFont="1" applyFill="1" applyBorder="1"/>
    <x:xf numFmtId="203" fontId="0" fillId="6" borderId="1" xfId="0" applyNumberFormat="1" applyFont="1" applyFill="1" applyBorder="1"/>
    <x:xf numFmtId="203" fontId="7" fillId="6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4" fontId="0" fillId="6" borderId="0" xfId="0" applyNumberFormat="1" applyFont="1" applyFill="1" applyBorder="1"/>
    <x:xf numFmtId="204" fontId="0" fillId="6" borderId="1" xfId="0" applyNumberFormat="1" applyFont="1" applyFill="1" applyBorder="1"/>
    <x:xf numFmtId="200" fontId="0" fillId="3" borderId="0" xfId="0" applyNumberFormat="1" applyFont="1" applyFill="1" applyBorder="1"/>
    <x:xf numFmtId="200" fontId="2" fillId="3" borderId="0" xfId="0" applyNumberFormat="1" applyFont="1" applyFill="1" applyBorder="1"/>
    <x:xf numFmtId="200" fontId="0" fillId="3" borderId="1" xfId="0" applyNumberFormat="1" applyFont="1" applyFill="1" applyBorder="1"/>
    <x:xf numFmtId="20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5d64ba8da44462" /><Relationship Type="http://schemas.openxmlformats.org/officeDocument/2006/relationships/theme" Target="/xl/theme/theme1.xml" Id="R3f7efa46a14d4410" /><Relationship Type="http://schemas.openxmlformats.org/officeDocument/2006/relationships/sharedStrings" Target="/xl/sharedStrings.xml" Id="Ra8cbbb1702bb4b09" /><Relationship Type="http://schemas.openxmlformats.org/officeDocument/2006/relationships/worksheet" Target="/xl/worksheets/sheet1.xml" Id="R39556ea3145f4d74" /><Relationship Type="http://schemas.openxmlformats.org/officeDocument/2006/relationships/worksheet" Target="/xl/worksheets/sheet2.xml" Id="R34e2d3d50858498f" /><Relationship Type="http://schemas.openxmlformats.org/officeDocument/2006/relationships/worksheet" Target="/xl/worksheets/sheet3.xml" Id="R666e05ab377e42e5" /><Relationship Type="http://schemas.openxmlformats.org/officeDocument/2006/relationships/worksheet" Target="/xl/worksheets/sheet4.xml" Id="R167e6f9c6fe1441f" /><Relationship Type="http://schemas.openxmlformats.org/officeDocument/2006/relationships/worksheet" Target="/xl/worksheets/sheet5.xml" Id="Rb19465edb9474c82" /><Relationship Type="http://schemas.openxmlformats.org/officeDocument/2006/relationships/worksheet" Target="/xl/worksheets/sheet6.xml" Id="Rf47a8065cd99419e" /><Relationship Type="http://schemas.openxmlformats.org/officeDocument/2006/relationships/worksheet" Target="/xl/worksheets/sheet7.xml" Id="Rfe33c54e68864f74" /><Relationship Type="http://schemas.openxmlformats.org/officeDocument/2006/relationships/worksheet" Target="/xl/worksheets/sheet8.xml" Id="R90bd057454664d9e" /><Relationship Type="http://schemas.openxmlformats.org/officeDocument/2006/relationships/worksheet" Target="/xl/worksheets/sheet9.xml" Id="Rae53e51a0f4a4dbf" /><Relationship Type="http://schemas.openxmlformats.org/officeDocument/2006/relationships/worksheet" Target="/xl/worksheets/sheet10.xml" Id="R2afacbc59193451d" /><Relationship Type="http://schemas.openxmlformats.org/officeDocument/2006/relationships/worksheet" Target="/xl/worksheets/sheet11.xml" Id="Ra54e7fb6a0d04d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7" hidden="0" customWidth="1"/>
    <x:col min="2" max="2" width="6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 ht="23" customHeight="1">
      <x:c r="A1" s="4" t="str">
        <x:v>UBER | OVERVIEW</x:v>
      </x:c>
      <x:c r="B1" s="4"/>
      <x:c r="C1" s="4"/>
      <x:c r="D1" s="4"/>
      <x:c r="E1" s="4"/>
      <x:c r="F1" s="4"/>
      <x:c r="G1" s="4"/>
      <x:c r="H1" s="4"/>
    </x:row>
    <x:row r="2" ht="23" customHeight="1">
      <x:c r="A2" s="4"/>
      <x:c r="B2" s="4"/>
      <x:c r="C2" s="4"/>
      <x:c r="D2" s="4"/>
      <x:c r="E2" s="4"/>
      <x:c r="F2" s="4"/>
      <x:c r="G2" s="4"/>
      <x:c r="H2" s="4"/>
    </x:row>
    <x:row r="4">
      <x:c r="A4" s="9" t="str">
        <x:v>PROJECT SNAPSHOT</x:v>
      </x:c>
      <x:c r="B4" s="9" t="str">
        <x:v>AS OF 22 OCTOBER 2026</x:v>
      </x:c>
    </x:row>
    <x:row r="6">
      <x:c r="A6" t="str">
        <x:v>Ticker</x:v>
      </x:c>
      <x:c r="B6" t="str">
        <x:v>UBER</x:v>
      </x:c>
    </x:row>
    <x:row r="7">
      <x:c r="A7" t="str">
        <x:v>Reference price ($)</x:v>
      </x:c>
      <x:c r="B7" s="48" t="n">
        <x:f>Assumptions!B5</x:f>
        <x:v>67.62</x:v>
      </x:c>
    </x:row>
    <x:row r="8">
      <x:c r="A8" t="str">
        <x:v>Bear implied price ($)</x:v>
      </x:c>
      <x:c r="B8" s="48" t="n">
        <x:f>'DCF &amp; Cases'!B16</x:f>
        <x:v>42.19691876933627</x:v>
      </x:c>
    </x:row>
    <x:row r="9" ht="26" customHeight="1">
      <x:c r="A9" t="str">
        <x:v>Base implied price ($)</x:v>
      </x:c>
      <x:c r="B9" s="51" t="n">
        <x:f>'DCF &amp; Cases'!C16</x:f>
        <x:v>77.01874489826581</x:v>
      </x:c>
    </x:row>
    <x:row r="10">
      <x:c r="A10" t="str">
        <x:v>Bull implied price ($)</x:v>
      </x:c>
      <x:c r="B10" s="48" t="n">
        <x:f>'DCF &amp; Cases'!D16</x:f>
        <x:v>130.15448933703126</x:v>
      </x:c>
    </x:row>
    <x:row r="11">
      <x:c r="A11" t="str">
        <x:v>Base upside vs reference</x:v>
      </x:c>
      <x:c r="B11" s="12" t="n">
        <x:f>'DCF &amp; Cases'!C18</x:f>
        <x:v>0.13899356548751562</x:v>
      </x:c>
    </x:row>
    <x:row r="12">
      <x:c r="A12" t="str">
        <x:v>Analyst stance</x:v>
      </x:c>
      <x:c r="B12" t="str">
        <x:v>WATCHLIST / NOT YET A COMPELLING MARGIN OF SAFETY</x:v>
      </x:c>
    </x:row>
    <x:row r="13">
      <x:c r="A13" t="str">
        <x:v>2025 bookings ($mm)</x:v>
      </x:c>
      <x:c r="B13" s="14" t="n">
        <x:f>Historical!D5</x:f>
        <x:v>193454</x:v>
      </x:c>
    </x:row>
    <x:row r="14">
      <x:c r="A14" t="str">
        <x:v>2025 revenue ($mm)</x:v>
      </x:c>
      <x:c r="B14" s="14" t="n">
        <x:f>Historical!D6</x:f>
        <x:v>52017</x:v>
      </x:c>
    </x:row>
    <x:row r="15">
      <x:c r="A15" t="str">
        <x:v>2025 reported FCF ($mm)</x:v>
      </x:c>
      <x:c r="B15" s="14" t="n">
        <x:f>Historical!D12</x:f>
        <x:v>9763</x:v>
      </x:c>
    </x:row>
    <x:row r="16">
      <x:c r="A16" t="str">
        <x:v>Q2 2026 bookings ($mm)</x:v>
      </x:c>
      <x:c r="B16" s="14" t="n">
        <x:v>58022</x:v>
      </x:c>
    </x:row>
    <x:row r="17">
      <x:c r="A17" t="str">
        <x:v>Q2 2026 GAAP operating income ($mm)</x:v>
      </x:c>
      <x:c r="B17" s="14" t="n">
        <x:v>1890</x:v>
      </x:c>
    </x:row>
    <x:row r="18">
      <x:c r="A18" t="str">
        <x:v>Q3 2026 earnings date</x:v>
      </x:c>
      <x:c r="B18" t="str">
        <x:v>2026-11-04</x:v>
      </x:c>
    </x:row>
    <x:row r="21" ht="23" customHeight="1">
      <x:c r="A21" s="23" t="str">
        <x:v>PROPOSED INVESTMENT DEBATE</x:v>
      </x:c>
      <x:c r="B21" s="23"/>
      <x:c r="C21" s="23"/>
      <x:c r="D21" s="23"/>
      <x:c r="E21" s="23"/>
      <x:c r="F21" s="23"/>
      <x:c r="G21" s="23"/>
      <x:c r="H21" s="23"/>
    </x:row>
    <x:row r="23" ht="45" customHeight="1">
      <x:c r="A23" t="str">
        <x:v>Debate</x:v>
      </x:c>
      <x:c r="B23" s="26" t="str">
        <x:v>Can expanding trips/booking monetization produce attractive unlevered cash flow after the Delivery Hero deal and AV reinvestment?</x:v>
      </x:c>
    </x:row>
    <x:row r="24" ht="45" customHeight="1">
      <x:c r="A24" t="str">
        <x:v>Why not blindly BUY</x:v>
      </x:c>
      <x:c r="B24" s="26" t="str">
        <x:v>DCF is terminal-value heavy and does not fully underwrite Delivery Hero financing nor AV capital intensity.</x:v>
      </x:c>
    </x:row>
    <x:row r="25" ht="45" customHeight="1">
      <x:c r="A25" t="str">
        <x:v>Bull trigger</x:v>
      </x:c>
      <x:c r="B25" s="26" t="str">
        <x:v>Conviction improves if margin gains persist and AV aggregation remains capital-efficient.</x:v>
      </x:c>
    </x:row>
    <x:row r="26" ht="45" customHeight="1">
      <x:c r="A26" t="str">
        <x:v>Bear trigger</x:v>
      </x:c>
      <x:c r="B26" s="26" t="str">
        <x:v>Uber owns more robotaxi assets, takes more leverage, or loses access to third-party AV fleet volume.</x:v>
      </x:c>
    </x:row>
    <x:row r="27" ht="45" customHeight="1">
      <x:c r="A27" t="str">
        <x:v>Portfolio statement</x:v>
      </x:c>
      <x:c r="B27" s="26" t="str">
        <x:v>Independent research case study; scenario assumptions explicitly marked as analyst estimates.</x:v>
      </x:c>
    </x:row>
    <x:row r="30" ht="23" customHeight="1">
      <x:c r="A30" s="23" t="str">
        <x:v>NAVIGATION / MODEL FLOW</x:v>
      </x:c>
      <x:c r="B30" s="23"/>
      <x:c r="C30" s="23"/>
      <x:c r="D30" s="23"/>
      <x:c r="E30" s="23"/>
      <x:c r="F30" s="23"/>
      <x:c r="G30" s="23"/>
      <x:c r="H30" s="23"/>
    </x:row>
    <x:row r="32" ht="26" customHeight="1">
      <x:c r="A32" t="str">
        <x:v>Historical</x:v>
      </x:c>
      <x:c r="B32" t="str">
        <x:v>2023–25 reported performance plus H1 2026 and segment snapshot</x:v>
      </x:c>
    </x:row>
    <x:row r="33" ht="26" customHeight="1">
      <x:c r="A33" t="str">
        <x:v>Assumptions / Forecast tabs</x:v>
      </x:c>
      <x:c r="B33" t="str">
        <x:v>Scenario inputs, separate Bear / Base / Bull unlevered FCF bridges</x:v>
      </x:c>
    </x:row>
    <x:row r="34" ht="26" customHeight="1">
      <x:c r="A34" t="str">
        <x:v>DCF &amp; Cases / Sensitivity</x:v>
      </x:c>
      <x:c r="B34" t="str">
        <x:v>Enterprise-to-equity valuation and WACC × g stress test</x:v>
      </x:c>
    </x:row>
    <x:row r="35" ht="26" customHeight="1">
      <x:c r="A35" t="str">
        <x:v>Trading Comps</x:v>
      </x:c>
      <x:c r="B35" t="str">
        <x:v>Lyft and DoorDash observed public valuation anchor (FY2025 EBITDA basis)</x:v>
      </x:c>
    </x:row>
    <x:row r="36" ht="26" customHeight="1">
      <x:c r="A36" t="str">
        <x:v>Deal &amp; Risks / Sources</x:v>
      </x:c>
      <x:c r="B36" t="str">
        <x:v>Live transaction/AV risks and all input references</x:v>
      </x:c>
    </x:row>
  </x:sheetData>
  <x:mergeCells>
    <x:mergeCell ref="A1:H2"/>
    <x:mergeCell ref="A21:H21"/>
    <x:mergeCell ref="A30:H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7" hidden="0" customWidth="1"/>
    <x:col min="2" max="2" width="62" hidden="0" customWidth="1"/>
    <x:col min="3" max="3" width="99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 ht="23" customHeight="1">
      <x:c r="A1" s="4" t="str">
        <x:v>UBER | SOURCES</x:v>
      </x:c>
      <x:c r="B1" s="4"/>
      <x:c r="C1" s="4"/>
      <x:c r="D1" s="4"/>
      <x:c r="E1" s="4"/>
      <x:c r="F1" s="4"/>
      <x:c r="G1" s="4"/>
      <x:c r="H1" s="4"/>
    </x:row>
    <x:row r="2" ht="23" customHeight="1">
      <x:c r="A2" s="4"/>
      <x:c r="B2" s="4"/>
      <x:c r="C2" s="4"/>
      <x:c r="D2" s="4"/>
      <x:c r="E2" s="4"/>
      <x:c r="F2" s="4"/>
      <x:c r="G2" s="4"/>
      <x:c r="H2" s="4"/>
    </x:row>
    <x:row r="4" ht="22" customHeight="1">
      <x:c r="A4" s="9" t="str">
        <x:v>ID</x:v>
      </x:c>
      <x:c r="B4" s="9" t="str">
        <x:v>DESCRIPTION / INPUT COVERAGE</x:v>
      </x:c>
      <x:c r="C4" s="9" t="str">
        <x:v>SOURCE URL</x:v>
      </x:c>
    </x:row>
    <x:row r="5" ht="24" customHeight="1">
      <x:c r="A5" t="str">
        <x:v>UBER_FY25_10K</x:v>
      </x:c>
      <x:c r="B5" t="str">
        <x:v>SEC 2025 Form 10-K (2023–2025 income, cash flow, segment figures)</x:v>
      </x:c>
      <x:c r="C5" t="str">
        <x:v>https://www.sec.gov/Archives/edgar/data/1543151/000154315126000015/uber-20251231.htm</x:v>
      </x:c>
    </x:row>
    <x:row r="6" ht="24" customHeight="1">
      <x:c r="A6" t="str">
        <x:v>UBER_Q2_26_10Q</x:v>
      </x:c>
      <x:c r="B6" t="str">
        <x:v>SEC Q2 2026 Form 10-Q (H1 operations, shares, investments, debt)</x:v>
      </x:c>
      <x:c r="C6" t="str">
        <x:v>https://www.sec.gov/Archives/edgar/data/1543151/000154315126000032/uber-20260630.htm</x:v>
      </x:c>
    </x:row>
    <x:row r="7" ht="24" customHeight="1">
      <x:c r="A7" t="str">
        <x:v>UBER_FY24_RESULTS</x:v>
      </x:c>
      <x:c r="B7" t="str">
        <x:v>Uber FY2024 release (2023–2024 gross bookings, adjusted EBITDA)</x:v>
      </x:c>
      <x:c r="C7" t="str">
        <x:v>https://investor.uber.com/news-events/news/press-release-details/2025/Uber-Announces-Results-for-Fourth-Quarter-and-Full-Year-2024/default.aspx?os=vb__</x:v>
      </x:c>
    </x:row>
    <x:row r="8" ht="24" customHeight="1">
      <x:c r="A8" t="str">
        <x:v>UBER_Q2_RESULTS</x:v>
      </x:c>
      <x:c r="B8" t="str">
        <x:v>Uber Q2 2026 press release (Q2 KPIs and guidance)</x:v>
      </x:c>
      <x:c r="C8" t="str">
        <x:v>https://investor.uber.com/news-events/news/press-release-details/2026/Uber-Announces-Results-for-Second-Quarter-2026/default.aspx</x:v>
      </x:c>
    </x:row>
    <x:row r="9" ht="24" customHeight="1">
      <x:c r="A9" t="str">
        <x:v>UBER_FY25_RESULTS</x:v>
      </x:c>
      <x:c r="B9" t="str">
        <x:v>Uber FY2025 results (annual operating KPIs)</x:v>
      </x:c>
      <x:c r="C9" t="str">
        <x:v>https://investor.uber.com/news-events/news/press-release-details/2026/Uber-Announces-Results-for-Fourth-Quarter-and-Full-Year-2025/default.aspx</x:v>
      </x:c>
    </x:row>
    <x:row r="10" ht="24" customHeight="1">
      <x:c r="A10" t="str">
        <x:v>UBER_DELIVERY_HERO</x:v>
      </x:c>
      <x:c r="B10" t="str">
        <x:v>Uber proposed acquisition offer July 16, 2026</x:v>
      </x:c>
      <x:c r="C10" t="str">
        <x:v>https://investor.uber.com/news-events/news/press-release-details/2026/Uber-Announces-Acquisition-Offer-for-Delivery-Hero/default.aspx</x:v>
      </x:c>
    </x:row>
    <x:row r="11" ht="24" customHeight="1">
      <x:c r="A11" t="str">
        <x:v>UBER_OFFER_UPDATE</x:v>
      </x:c>
      <x:c r="B11" t="str">
        <x:v>Uber offer document August 27, 2026 (acceptance through Nov 5)</x:v>
      </x:c>
      <x:c r="C11" t="str">
        <x:v>https://investor.uber.com/news-events/news/press-release-details/2026/Uber-Publishes-Offer-Document-for-its-Takeover-Offer-for-Delivery-Hero/default.aspx</x:v>
      </x:c>
    </x:row>
    <x:row r="12" ht="24" customHeight="1">
      <x:c r="A12" t="str">
        <x:v>UBER_Q3_SCHEDULE</x:v>
      </x:c>
      <x:c r="B12" t="str">
        <x:v>Uber Q3 reporting date Nov 4, 2026</x:v>
      </x:c>
      <x:c r="C12" t="str">
        <x:v>https://investor.uber.com/news-events/news/press-release-details/2026/Uber-Announces-Date-of-Third-Quarter-2026-Results-Conference-Call/default.aspx</x:v>
      </x:c>
    </x:row>
    <x:row r="13" ht="24" customHeight="1">
      <x:c r="A13" t="str">
        <x:v>PRICES_2026_10_21</x:v>
      </x:c>
      <x:c r="B13" t="str">
        <x:v>Matched historical UBER/LYFT/DASH Oct 21 2026 closes</x:v>
      </x:c>
      <x:c r="C13" t="str">
        <x:v>https://www.statmuse.com/money/ask/uber-lyft-dash-returns-this-year</x:v>
      </x:c>
    </x:row>
    <x:row r="14" ht="24" customHeight="1">
      <x:c r="A14" t="str">
        <x:v>LYFT_FY25_10K</x:v>
      </x:c>
      <x:c r="B14" t="str">
        <x:v>Lyft 2025 Form 10-K (FY2025 EBITDA and revenue)</x:v>
      </x:c>
      <x:c r="C14" t="str">
        <x:v>https://www.sec.gov/Archives/edgar/data/1759509/000162828026006960/lyft-20251231.htm</x:v>
      </x:c>
    </x:row>
    <x:row r="15" ht="24" customHeight="1">
      <x:c r="A15" t="str">
        <x:v>LYFT_Q2_26_10Q</x:v>
      </x:c>
      <x:c r="B15" t="str">
        <x:v>Lyft Q2 2026 Form 10-Q (cash, securities, debt, outstanding shares)</x:v>
      </x:c>
      <x:c r="C15" t="str">
        <x:v>https://www.sec.gov/Archives/edgar/data/1759509/000162828026054499/lyft-20260630.htm</x:v>
      </x:c>
    </x:row>
    <x:row r="16" ht="24" customHeight="1">
      <x:c r="A16" t="str">
        <x:v>DASH_FY25_RESULTS</x:v>
      </x:c>
      <x:c r="B16" t="str">
        <x:v>DoorDash FY2025 release (revenue and adjusted EBITDA)</x:v>
      </x:c>
      <x:c r="C16" t="str">
        <x:v>https://www.sec.gov/Archives/edgar/data/1792789/000179278926000012/prodq4dashex991-pressrelea.htm</x:v>
      </x:c>
    </x:row>
    <x:row r="17" ht="24" customHeight="1">
      <x:c r="A17" t="str">
        <x:v>DASH_Q2_26_10Q</x:v>
      </x:c>
      <x:c r="B17" t="str">
        <x:v>DoorDash Q2 2026 Form 10-Q (cash, debt, shares)</x:v>
      </x:c>
      <x:c r="C17" t="str">
        <x:v>https://www.sec.gov/Archives/edgar/data/1792789/000179278926000050/dash-20260630.htm</x:v>
      </x:c>
    </x:row>
    <x:row r="18" ht="24" customHeight="1">
      <x:c r="A18" t="str">
        <x:v>AV_MARKET_REPORT</x:v>
      </x:c>
      <x:c r="B18" t="str">
        <x:v>Axios Sep 23 2026 autonomous investment strategy</x:v>
      </x:c>
      <x:c r="C18" t="str">
        <x:v>https://www.axios.com/2026/09/23/uber-robotaxi-av-strategy-dara-khosrowshahi</x:v>
      </x:c>
    </x:row>
    <x:row r="19" ht="24" customHeight="1">
      <x:c r="A19" t="str">
        <x:v>AV_ZOOX</x:v>
      </x:c>
      <x:c r="B19" t="str">
        <x:v>Uber / Zoox March 2026 partnership</x:v>
      </x:c>
      <x:c r="C19" t="str">
        <x:v>https://investor.uber.com/news-events/news/press-release-details/2026/Zoox-and-Uber-Announce-Strategic-Partnership/default.aspx</x:v>
      </x:c>
    </x:row>
    <x:row r="23">
      <x:c r="A23" t="str">
        <x:v>Note: URLs in this worksheet are the audit trail for historical inputs; yellow cells are analyst assumptions.</x:v>
      </x:c>
    </x:row>
  </x:sheetData>
  <x:mergeCells>
    <x:mergeCell ref="A1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7" hidden="0" customWidth="1"/>
    <x:col min="2" max="2" width="89" hidden="0" customWidth="1"/>
    <x:col min="3" max="3" width="16" hidden="0" customWidth="1"/>
    <x:col min="4" max="4" width="16" hidden="0" customWidth="1"/>
    <x:col min="5" max="5" width="16" hidden="0" customWidth="1"/>
    <x:col min="6" max="6" width="5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 ht="23" customHeight="1">
      <x:c r="A1" s="4" t="str">
        <x:v>UBER | HISTORICAL</x:v>
      </x:c>
      <x:c r="B1" s="4"/>
      <x:c r="C1" s="4"/>
      <x:c r="D1" s="4"/>
      <x:c r="E1" s="4"/>
      <x:c r="F1" s="4"/>
      <x:c r="G1" s="4"/>
      <x:c r="H1" s="4"/>
    </x:row>
    <x:row r="2" ht="23" customHeight="1">
      <x:c r="A2" s="4"/>
      <x:c r="B2" s="4"/>
      <x:c r="C2" s="4"/>
      <x:c r="D2" s="4"/>
      <x:c r="E2" s="4"/>
      <x:c r="F2" s="4"/>
      <x:c r="G2" s="4"/>
      <x:c r="H2" s="4"/>
    </x:row>
    <x:row r="4">
      <x:c r="A4" s="9" t="str">
        <x:v>Reported ($mm except ratios)</x:v>
      </x:c>
      <x:c r="B4" s="9" t="str">
        <x:v>2023A</x:v>
      </x:c>
      <x:c r="C4" s="9" t="str">
        <x:v>2024A</x:v>
      </x:c>
      <x:c r="D4" s="9" t="str">
        <x:v>2025A</x:v>
      </x:c>
      <x:c r="E4" s="9" t="str">
        <x:v>H1 2026A</x:v>
      </x:c>
      <x:c r="F4" s="9" t="str">
        <x:v>Primary source IDs</x:v>
      </x:c>
    </x:row>
    <x:row r="5">
      <x:c r="A5" t="str">
        <x:v>Gross bookings ($mm)</x:v>
      </x:c>
      <x:c r="B5" s="16" t="n">
        <x:v>137865</x:v>
      </x:c>
      <x:c r="C5" s="16" t="n">
        <x:v>162773</x:v>
      </x:c>
      <x:c r="D5" s="16" t="n">
        <x:v>193454</x:v>
      </x:c>
      <x:c r="E5" s="16" t="n">
        <x:v>111742</x:v>
      </x:c>
      <x:c r="F5" s="20" t="str">
        <x:v>UBER_FY24_RESULTS / UBER_FY25_RESULTS / UBER_Q2_26_10Q</x:v>
      </x:c>
    </x:row>
    <x:row r="6">
      <x:c r="A6" t="str">
        <x:v>Revenue ($mm)</x:v>
      </x:c>
      <x:c r="B6" s="16" t="n">
        <x:v>37281</x:v>
      </x:c>
      <x:c r="C6" s="16" t="n">
        <x:v>43978</x:v>
      </x:c>
      <x:c r="D6" s="16" t="n">
        <x:v>52017</x:v>
      </x:c>
      <x:c r="E6" s="16" t="n">
        <x:v>27394</x:v>
      </x:c>
      <x:c r="F6" s="20" t="str">
        <x:v>UBER_FY25_10K / UBER_Q2_26_10Q</x:v>
      </x:c>
    </x:row>
    <x:row r="7">
      <x:c r="A7" t="str">
        <x:v>Operating income ($mm)</x:v>
      </x:c>
      <x:c r="B7" s="16" t="n">
        <x:v>1110</x:v>
      </x:c>
      <x:c r="C7" s="16" t="n">
        <x:v>2799</x:v>
      </x:c>
      <x:c r="D7" s="16" t="n">
        <x:v>5565</x:v>
      </x:c>
      <x:c r="E7" s="16" t="n">
        <x:v>3813</x:v>
      </x:c>
      <x:c r="F7" s="20" t="str">
        <x:v>UBER_FY25_10K / UBER_Q2_26_10Q</x:v>
      </x:c>
    </x:row>
    <x:row r="8">
      <x:c r="A8" t="str">
        <x:v>Operating margin</x:v>
      </x:c>
      <x:c r="B8" s="17" t="n">
        <x:f>B7/B6</x:f>
        <x:v>0.029773879456023174</x:v>
      </x:c>
      <x:c r="C8" s="17" t="n">
        <x:f>C7/C6</x:f>
        <x:v>0.06364545909318295</x:v>
      </x:c>
      <x:c r="D8" s="17" t="n">
        <x:f>D7/D6</x:f>
        <x:v>0.10698425514735567</x:v>
      </x:c>
      <x:c r="E8" s="17" t="n">
        <x:f>E7/E6</x:f>
        <x:v>0.13919106373658466</x:v>
      </x:c>
      <x:c r="F8" s="20" t="str">
        <x:v>Calculated</x:v>
      </x:c>
    </x:row>
    <x:row r="9">
      <x:c r="A9" t="str">
        <x:v>Adjusted EBITDA ($mm)</x:v>
      </x:c>
      <x:c r="B9" s="16" t="n">
        <x:v>4052</x:v>
      </x:c>
      <x:c r="C9" s="16" t="n">
        <x:v>6484</x:v>
      </x:c>
      <x:c r="D9" s="16" t="n">
        <x:v>8730</x:v>
      </x:c>
      <x:c r="E9" s="16"/>
      <x:c r="F9" s="20" t="str">
        <x:v>UBER_FY24_RESULTS / UBER_FY25_RESULTS</x:v>
      </x:c>
    </x:row>
    <x:row r="10">
      <x:c r="A10" t="str">
        <x:v>Operating cash flow ($mm)</x:v>
      </x:c>
      <x:c r="B10" s="16" t="n">
        <x:v>3585</x:v>
      </x:c>
      <x:c r="C10" s="16" t="n">
        <x:v>7137</x:v>
      </x:c>
      <x:c r="D10" s="16" t="n">
        <x:v>10099</x:v>
      </x:c>
      <x:c r="E10" s="16" t="n">
        <x:v>5213</x:v>
      </x:c>
      <x:c r="F10" s="20" t="str">
        <x:v>UBER_FY25_10K / UBER_Q2_26_10Q</x:v>
      </x:c>
    </x:row>
    <x:row r="11">
      <x:c r="A11" t="str">
        <x:v>Capex ($mm)</x:v>
      </x:c>
      <x:c r="B11" s="16" t="n">
        <x:v>223</x:v>
      </x:c>
      <x:c r="C11" s="16" t="n">
        <x:v>242</x:v>
      </x:c>
      <x:c r="D11" s="16" t="n">
        <x:v>336</x:v>
      </x:c>
      <x:c r="E11" s="16" t="n">
        <x:v>135</x:v>
      </x:c>
      <x:c r="F11" s="20" t="str">
        <x:v>UBER_FY25_10K / UBER_Q2_26_10Q</x:v>
      </x:c>
    </x:row>
    <x:row r="12">
      <x:c r="A12" t="str">
        <x:v>Reported FCF ($mm)</x:v>
      </x:c>
      <x:c r="B12" s="16" t="n">
        <x:f>B10-B11</x:f>
        <x:v>3362</x:v>
      </x:c>
      <x:c r="C12" s="16" t="n">
        <x:f>C10-C11</x:f>
        <x:v>6895</x:v>
      </x:c>
      <x:c r="D12" s="16" t="n">
        <x:f>D10-D11</x:f>
        <x:v>9763</x:v>
      </x:c>
      <x:c r="E12" s="16" t="n">
        <x:f>E10-E11</x:f>
        <x:v>5078</x:v>
      </x:c>
      <x:c r="F12" s="20" t="str">
        <x:v>Operating cash flow minus capex (UBER definition)</x:v>
      </x:c>
    </x:row>
    <x:row r="13">
      <x:c r="A13" t="str">
        <x:v>D&amp;A - P&amp;L ($mm)</x:v>
      </x:c>
      <x:c r="B13" s="16" t="n">
        <x:v>823</x:v>
      </x:c>
      <x:c r="C13" s="16" t="n">
        <x:v>711</x:v>
      </x:c>
      <x:c r="D13" s="16" t="n">
        <x:v>719</x:v>
      </x:c>
      <x:c r="E13" s="16" t="n">
        <x:v>372</x:v>
      </x:c>
      <x:c r="F13" s="20" t="str">
        <x:v>UBER_FY25_10K / UBER_Q2_26_10Q</x:v>
      </x:c>
    </x:row>
    <x:row r="14">
      <x:c r="A14" t="str">
        <x:v>GAAP net income attributable ($mm)</x:v>
      </x:c>
      <x:c r="B14" s="16" t="n">
        <x:v>1887</x:v>
      </x:c>
      <x:c r="C14" s="16" t="n">
        <x:v>9856</x:v>
      </x:c>
      <x:c r="D14" s="16" t="n">
        <x:v>10053</x:v>
      </x:c>
      <x:c r="E14" s="16" t="n">
        <x:v>2678</x:v>
      </x:c>
      <x:c r="F14" s="20" t="str">
        <x:v>UBER_FY25_10K / UBER_Q2_26_10Q</x:v>
      </x:c>
    </x:row>
    <x:row r="15">
      <x:c r="A15" t="str">
        <x:v>Revenue growth</x:v>
      </x:c>
      <x:c r="B15" s="12"/>
      <x:c r="C15" s="12" t="n">
        <x:f>C6/B6-1</x:f>
        <x:v>0.17963573938467325</x:v>
      </x:c>
      <x:c r="D15" s="12" t="n">
        <x:f>D6/C6-1</x:f>
        <x:v>0.1827959434262585</x:v>
      </x:c>
      <x:c r="E15" s="12"/>
      <x:c r="F15" s="20" t="str">
        <x:v>Calculated</x:v>
      </x:c>
    </x:row>
    <x:row r="16">
      <x:c r="A16" t="str">
        <x:v>Gross bookings growth</x:v>
      </x:c>
      <x:c r="B16" s="12"/>
      <x:c r="C16" s="12" t="n">
        <x:f>C5/B5-1</x:f>
        <x:v>0.18066949552098066</x:v>
      </x:c>
      <x:c r="D16" s="12" t="n">
        <x:f>D5/C5-1</x:f>
        <x:v>0.18848949150043315</x:v>
      </x:c>
      <x:c r="E16" s="12"/>
      <x:c r="F16" s="20" t="str">
        <x:v>Calculated</x:v>
      </x:c>
    </x:row>
    <x:row r="17">
      <x:c r="A17" t="str">
        <x:v>Reported revenue / bookings</x:v>
      </x:c>
      <x:c r="B17" s="12" t="n">
        <x:f>B6/B5</x:f>
        <x:v>0.2704167120008704</x:v>
      </x:c>
      <x:c r="C17" s="12" t="n">
        <x:f>C6/C5</x:f>
        <x:v>0.2701799438481812</x:v>
      </x:c>
      <x:c r="D17" s="12" t="n">
        <x:f>D6/D5</x:f>
        <x:v>0.26888562655721776</x:v>
      </x:c>
      <x:c r="E17" s="12" t="n">
        <x:f>E6/E5</x:f>
        <x:v>0.24515401549999105</x:v>
      </x:c>
      <x:c r="F17" s="20" t="str">
        <x:v>Calculated: NOT fee take rate, accounting presentation varies</x:v>
      </x:c>
    </x:row>
    <x:row r="20" ht="23" customHeight="1">
      <x:c r="A20" s="23" t="str">
        <x:v>IMPORTANT COMPARABILITY / CASH-FLOW NOTES</x:v>
      </x:c>
      <x:c r="B20" s="23"/>
      <x:c r="C20" s="23"/>
      <x:c r="D20" s="23"/>
      <x:c r="E20" s="23"/>
      <x:c r="F20" s="23"/>
    </x:row>
    <x:row r="22">
      <x:c r="A22" t="str">
        <x:v>H1 2026 is a six-month period</x:v>
      </x:c>
      <x:c r="B22" s="26" t="str">
        <x:v>Do not compare directly with 12-month annual results.</x:v>
      </x:c>
    </x:row>
    <x:row r="23">
      <x:c r="A23" t="str">
        <x:v>2024–25 GAAP net income</x:v>
      </x:c>
      <x:c r="B23" s="26" t="str">
        <x:v>Includes $6.4B / $5.0B tax allowance release respectively; not normalized earnings.</x:v>
      </x:c>
    </x:row>
    <x:row r="24">
      <x:c r="A24" t="str">
        <x:v>Reported FCF</x:v>
      </x:c>
      <x:c r="B24" s="26" t="str">
        <x:v>Includes SBC add-back, working-capital swings and insurance reserves; not identical to unlevered DCF cash flow.</x:v>
      </x:c>
    </x:row>
    <x:row r="25">
      <x:c r="A25" t="str">
        <x:v>2026 UK mobility reclassification</x:v>
      </x:c>
      <x:c r="B25" s="26" t="str">
        <x:v>Causes reported revenue growth to lag gross bookings; do not interpret revenue/bookings as a pure economic take rate.</x:v>
      </x:c>
    </x:row>
    <x:row r="28" ht="23" customHeight="1">
      <x:c r="A28" s="23" t="str">
        <x:v>SEGMENT SNAPSHOT | 2025 FY AND H1 2026 ($mm)</x:v>
      </x:c>
      <x:c r="B28" s="23"/>
      <x:c r="C28" s="23"/>
      <x:c r="D28" s="23"/>
      <x:c r="E28" s="23"/>
      <x:c r="F28" s="23"/>
    </x:row>
    <x:row r="29">
      <x:c r="A29" t="str">
        <x:v>Metric</x:v>
      </x:c>
      <x:c r="B29" t="str">
        <x:v>FY2025A</x:v>
      </x:c>
      <x:c r="C29" t="str">
        <x:v>H1 2026A</x:v>
      </x:c>
    </x:row>
    <x:row r="30">
      <x:c r="A30" t="str">
        <x:v>Mobility gross bookings</x:v>
      </x:c>
      <x:c r="B30" s="14" t="n">
        <x:v>97497</x:v>
      </x:c>
      <x:c r="C30" s="14" t="n">
        <x:v>55382</x:v>
      </x:c>
    </x:row>
    <x:row r="31">
      <x:c r="A31" t="str">
        <x:v>Delivery gross bookings</x:v>
      </x:c>
      <x:c r="B31" s="14" t="n">
        <x:v>90864</x:v>
      </x:c>
      <x:c r="C31" s="14" t="n">
        <x:v>53455</x:v>
      </x:c>
    </x:row>
    <x:row r="32">
      <x:c r="A32" t="str">
        <x:v>Freight gross bookings</x:v>
      </x:c>
      <x:c r="B32" s="14" t="n">
        <x:v>5093</x:v>
      </x:c>
      <x:c r="C32" s="14" t="n">
        <x:v>2905</x:v>
      </x:c>
    </x:row>
    <x:row r="33">
      <x:c r="A33" t="str">
        <x:v>Total gross bookings</x:v>
      </x:c>
      <x:c r="B33" s="14" t="n">
        <x:v>193454</x:v>
      </x:c>
      <x:c r="C33" s="14" t="n">
        <x:v>111742</x:v>
      </x:c>
    </x:row>
    <x:row r="34">
      <x:c r="A34" t="str">
        <x:v>Mobility revenue</x:v>
      </x:c>
      <x:c r="B34" s="14" t="n">
        <x:v>29670</x:v>
      </x:c>
      <x:c r="C34" s="14" t="n">
        <x:v>14161</x:v>
      </x:c>
    </x:row>
    <x:row r="35">
      <x:c r="A35" t="str">
        <x:v>Delivery revenue</x:v>
      </x:c>
      <x:c r="B35" s="14" t="n">
        <x:v>17248</x:v>
      </x:c>
      <x:c r="C35" s="14" t="n">
        <x:v>10313</x:v>
      </x:c>
    </x:row>
    <x:row r="36">
      <x:c r="A36" t="str">
        <x:v>Freight revenue</x:v>
      </x:c>
      <x:c r="B36" s="14" t="n">
        <x:v>5099</x:v>
      </x:c>
      <x:c r="C36" s="14" t="n">
        <x:v>2920</x:v>
      </x:c>
    </x:row>
    <x:row r="37">
      <x:c r="A37" t="str">
        <x:v>Total reported revenue</x:v>
      </x:c>
      <x:c r="B37" s="14" t="n">
        <x:v>52017</x:v>
      </x:c>
      <x:c r="C37" s="14" t="n">
        <x:v>27394</x:v>
      </x:c>
    </x:row>
    <x:row r="38">
      <x:c r="A38" t="str">
        <x:v>Mobility segment profit [NON-COMPARABLE]</x:v>
      </x:c>
      <x:c r="B38" s="14" t="n">
        <x:v>7899</x:v>
      </x:c>
      <x:c r="C38" s="14" t="n">
        <x:v>4244</x:v>
      </x:c>
    </x:row>
    <x:row r="39">
      <x:c r="A39" t="str">
        <x:v>Delivery segment profit [NON-COMPARABLE]</x:v>
      </x:c>
      <x:c r="B39" s="14" t="n">
        <x:v>3572</x:v>
      </x:c>
      <x:c r="C39" s="14" t="n">
        <x:v>2016</x:v>
      </x:c>
    </x:row>
    <x:row r="41">
      <x:c r="A41" s="36" t="str">
        <x:v>FY2025 segment profit = Adjusted EBITDA; H1 2026 = Segment Operating Income (new definition).</x:v>
      </x:c>
      <x:c r="B41" s="36"/>
      <x:c r="C41" s="36"/>
      <x:c r="D41" s="36"/>
      <x:c r="E41" s="36"/>
      <x:c r="F41" s="36"/>
    </x:row>
    <x:row r="42">
      <x:c r="A42" s="36" t="str">
        <x:v>DO NOT compare segment profitability across these two definitions without reconciliation.</x:v>
      </x:c>
      <x:c r="B42" s="36"/>
      <x:c r="C42" s="36"/>
      <x:c r="D42" s="36"/>
      <x:c r="E42" s="36"/>
      <x:c r="F42" s="36"/>
    </x:row>
  </x:sheetData>
  <x:mergeCells>
    <x:mergeCell ref="A1:H2"/>
    <x:mergeCell ref="A20:F20"/>
    <x:mergeCell ref="A28:F2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7" hidden="0" customWidth="1"/>
    <x:col min="2" max="2" width="20" hidden="0" customWidth="1"/>
    <x:col min="3" max="3" width="77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 ht="23" customHeight="1">
      <x:c r="A1" s="4" t="str">
        <x:v>UBER | ASSUMPTIONS</x:v>
      </x:c>
      <x:c r="B1" s="4"/>
      <x:c r="C1" s="4"/>
      <x:c r="D1" s="4"/>
      <x:c r="E1" s="4"/>
      <x:c r="F1" s="4"/>
      <x:c r="G1" s="4"/>
      <x:c r="H1" s="4"/>
    </x:row>
    <x:row r="2" ht="23" customHeight="1">
      <x:c r="A2" s="4"/>
      <x:c r="B2" s="4"/>
      <x:c r="C2" s="4"/>
      <x:c r="D2" s="4"/>
      <x:c r="E2" s="4"/>
      <x:c r="F2" s="4"/>
      <x:c r="G2" s="4"/>
      <x:c r="H2" s="4"/>
    </x:row>
    <x:row r="4" ht="23" customHeight="1">
      <x:c r="A4" s="23" t="str">
        <x:v>MARKET / BALANCE SHEET / MODEL CONTROLS</x:v>
      </x:c>
      <x:c r="B4" s="23"/>
      <x:c r="C4" s="23"/>
      <x:c r="D4" s="23"/>
      <x:c r="E4" s="23"/>
      <x:c r="F4" s="23"/>
      <x:c r="G4" s="23"/>
      <x:c r="H4" s="23"/>
    </x:row>
    <x:row r="5">
      <x:c r="A5" t="str">
        <x:v>UBER price: matched close 10/21/26 ($)</x:v>
      </x:c>
      <x:c r="B5" s="32" t="n">
        <x:v>67.62</x:v>
      </x:c>
      <x:c r="C5" t="str">
        <x:v>PRICES_2026_10_21</x:v>
      </x:c>
    </x:row>
    <x:row r="6">
      <x:c r="A6" t="str">
        <x:v>Price reference date</x:v>
      </x:c>
      <x:c r="B6" t="str">
        <x:v>2026-10-21</x:v>
      </x:c>
      <x:c r="C6" t="str">
        <x:v>PRICES_2026_10_21</x:v>
      </x:c>
    </x:row>
    <x:row r="7">
      <x:c r="A7" t="str">
        <x:v>Issued common shares (mm) 06/30/26</x:v>
      </x:c>
      <x:c r="B7" s="32" t="n">
        <x:v>2039.994</x:v>
      </x:c>
      <x:c r="C7" t="str">
        <x:v>UBER_Q2_26_10Q</x:v>
      </x:c>
    </x:row>
    <x:row r="8">
      <x:c r="A8" t="str">
        <x:v>Dilution / options cushion (% issued shares)</x:v>
      </x:c>
      <x:c r="B8" s="34" t="n">
        <x:v>0.025</x:v>
      </x:c>
      <x:c r="C8" t="str">
        <x:v>Analyst assumption; SBC already expensed in EBIT</x:v>
      </x:c>
    </x:row>
    <x:row r="9">
      <x:c r="A9" t="str">
        <x:v>Unrestricted cash ($mm)</x:v>
      </x:c>
      <x:c r="B9" s="32" t="n">
        <x:v>4870</x:v>
      </x:c>
      <x:c r="C9" t="str">
        <x:v>UBER_Q2_26_10Q</x:v>
      </x:c>
    </x:row>
    <x:row r="10">
      <x:c r="A10" t="str">
        <x:v>Short-term investments ($mm)</x:v>
      </x:c>
      <x:c r="B10" s="32" t="n">
        <x:v>521</x:v>
      </x:c>
      <x:c r="C10" t="str">
        <x:v>UBER_Q2_26_10Q</x:v>
      </x:c>
    </x:row>
    <x:row r="11">
      <x:c r="A11" t="str">
        <x:v>Long-term financial equity investments ($mm)</x:v>
      </x:c>
      <x:c r="B11" s="32" t="n">
        <x:v>8759</x:v>
      </x:c>
      <x:c r="C11" t="str">
        <x:v>UBER_Q2_26_10Q; market values may vary</x:v>
      </x:c>
    </x:row>
    <x:row r="12">
      <x:c r="A12" t="str">
        <x:v>Equity method investments ($mm)</x:v>
      </x:c>
      <x:c r="B12" s="32" t="n">
        <x:v>3773</x:v>
      </x:c>
      <x:c r="C12" t="str">
        <x:v>UBER_Q2_26_10Q; includes Delivery Hero already owned</x:v>
      </x:c>
    </x:row>
    <x:row r="13">
      <x:c r="A13" t="str">
        <x:v>Gross debt incl current ($mm)</x:v>
      </x:c>
      <x:c r="B13" s="32" t="n">
        <x:v>12723</x:v>
      </x:c>
      <x:c r="C13" t="str">
        <x:v>UBER_Q2_26_10Q</x:v>
      </x:c>
    </x:row>
    <x:row r="14">
      <x:c r="A14" t="str">
        <x:v>Normalized marginal cash tax rate</x:v>
      </x:c>
      <x:c r="B14" s="34" t="n">
        <x:v>0.25</x:v>
      </x:c>
      <x:c r="C14" t="str">
        <x:v>Analyst assumption; excludes nonrecurring tax valuation allowances</x:v>
      </x:c>
    </x:row>
    <x:row r="15">
      <x:c r="A15" t="str">
        <x:v>D&amp;A as % of revenue</x:v>
      </x:c>
      <x:c r="B15" s="34" t="n">
        <x:v>0.014</x:v>
      </x:c>
      <x:c r="C15" t="str">
        <x:v>Analyst assumption; approximate operating depreciation</x:v>
      </x:c>
    </x:row>
    <x:row r="16">
      <x:c r="A16" t="str">
        <x:v>Capex as % of revenue</x:v>
      </x:c>
      <x:c r="B16" s="34" t="n">
        <x:v>0.007</x:v>
      </x:c>
      <x:c r="C16" t="str">
        <x:v>Analyst assumption; may rise with AV investments</x:v>
      </x:c>
    </x:row>
    <x:row r="17">
      <x:c r="A17" t="str">
        <x:v>Incremental NWC investment / ∆revenue</x:v>
      </x:c>
      <x:c r="B17" s="34" t="n">
        <x:v>0.008</x:v>
      </x:c>
      <x:c r="C17" t="str">
        <x:v>Analyst assumption; cash conversion may be affected by insurance reserves</x:v>
      </x:c>
    </x:row>
    <x:row r="18">
      <x:c r="A18" t="str">
        <x:v>Proportion of FY2026 remaining after reference date</x:v>
      </x:c>
      <x:c r="B18" s="34" t="n">
        <x:v>0.25</x:v>
      </x:c>
      <x:c r="C18" t="str">
        <x:v>Analyst approximation: Q4 residual cash flows</x:v>
      </x:c>
    </x:row>
    <x:row r="19">
      <x:c r="A19" t="str">
        <x:v>Deal NPV overlay base ($mm)</x:v>
      </x:c>
      <x:c r="B19" s="32" t="n">
        <x:v>0</x:v>
      </x:c>
      <x:c r="C19" t="str">
        <x:v>Analyst assumption: acquisition is pending; no unverified synergies booked</x:v>
      </x:c>
    </x:row>
    <x:row r="22" ht="23" customHeight="1">
      <x:c r="A22" s="23" t="str">
        <x:v>BEAR / BASE / BULL FORECAST DRIVER ASSUMPTIONS</x:v>
      </x:c>
      <x:c r="B22" s="23"/>
      <x:c r="C22" s="23"/>
      <x:c r="D22" s="23"/>
      <x:c r="E22" s="23"/>
      <x:c r="F22" s="23"/>
      <x:c r="G22" s="23"/>
      <x:c r="H22" s="23"/>
    </x:row>
    <x:row r="25">
      <x:c r="A25" s="23" t="str">
        <x:v>BASE CASE</x:v>
      </x:c>
      <x:c r="B25" s="23" t="n">
        <x:v>2026</x:v>
      </x:c>
      <x:c r="C25" s="23" t="n">
        <x:v>2027</x:v>
      </x:c>
      <x:c r="D25" s="23" t="n">
        <x:v>2028</x:v>
      </x:c>
      <x:c r="E25" s="23" t="n">
        <x:v>2029</x:v>
      </x:c>
      <x:c r="F25" s="23" t="n">
        <x:v>2030</x:v>
      </x:c>
    </x:row>
    <x:row r="26">
      <x:c r="A26" t="str">
        <x:v>Gross bookings growth</x:v>
      </x:c>
      <x:c r="B26" s="34" t="n">
        <x:v>0.19</x:v>
      </x:c>
      <x:c r="C26" s="34" t="n">
        <x:v>0.16</x:v>
      </x:c>
      <x:c r="D26" s="34" t="n">
        <x:v>0.14</x:v>
      </x:c>
      <x:c r="E26" s="34" t="n">
        <x:v>0.12</x:v>
      </x:c>
      <x:c r="F26" s="34" t="n">
        <x:v>0.1</x:v>
      </x:c>
    </x:row>
    <x:row r="27">
      <x:c r="A27" t="str">
        <x:v>Reported revenue / gross bookings</x:v>
      </x:c>
      <x:c r="B27" s="34" t="n">
        <x:v>0.251</x:v>
      </x:c>
      <x:c r="C27" s="34" t="n">
        <x:v>0.252</x:v>
      </x:c>
      <x:c r="D27" s="34" t="n">
        <x:v>0.253</x:v>
      </x:c>
      <x:c r="E27" s="34" t="n">
        <x:v>0.254</x:v>
      </x:c>
      <x:c r="F27" s="34" t="n">
        <x:v>0.2545</x:v>
      </x:c>
    </x:row>
    <x:row r="28">
      <x:c r="A28" t="str">
        <x:v>EBIT margin</x:v>
      </x:c>
      <x:c r="B28" s="34" t="n">
        <x:v>0.14</x:v>
      </x:c>
      <x:c r="C28" s="34" t="n">
        <x:v>0.15</x:v>
      </x:c>
      <x:c r="D28" s="34" t="n">
        <x:v>0.16</x:v>
      </x:c>
      <x:c r="E28" s="34" t="n">
        <x:v>0.1675</x:v>
      </x:c>
      <x:c r="F28" s="34" t="n">
        <x:v>0.1725</x:v>
      </x:c>
    </x:row>
    <x:row r="29">
      <x:c r="A29" t="str">
        <x:v>WACC</x:v>
      </x:c>
      <x:c r="B29" s="34" t="n">
        <x:v>0.1</x:v>
      </x:c>
    </x:row>
    <x:row r="30">
      <x:c r="A30" t="str">
        <x:v>Terminal growth</x:v>
      </x:c>
      <x:c r="B30" s="34" t="n">
        <x:v>0.0275</x:v>
      </x:c>
    </x:row>
    <x:row r="31">
      <x:c r="A31" t="str">
        <x:v>Proposed M&amp;A net-value overlay ($mm)</x:v>
      </x:c>
      <x:c r="B31" s="32" t="n">
        <x:v>0</x:v>
      </x:c>
    </x:row>
    <x:row r="35">
      <x:c r="A35" s="23" t="str">
        <x:v>BEAR CASE</x:v>
      </x:c>
      <x:c r="B35" s="23" t="n">
        <x:v>2026</x:v>
      </x:c>
      <x:c r="C35" s="23" t="n">
        <x:v>2027</x:v>
      </x:c>
      <x:c r="D35" s="23" t="n">
        <x:v>2028</x:v>
      </x:c>
      <x:c r="E35" s="23" t="n">
        <x:v>2029</x:v>
      </x:c>
      <x:c r="F35" s="23" t="n">
        <x:v>2030</x:v>
      </x:c>
    </x:row>
    <x:row r="36">
      <x:c r="A36" t="str">
        <x:v>Gross bookings growth</x:v>
      </x:c>
      <x:c r="B36" s="34" t="n">
        <x:v>0.16</x:v>
      </x:c>
      <x:c r="C36" s="34" t="n">
        <x:v>0.12</x:v>
      </x:c>
      <x:c r="D36" s="34" t="n">
        <x:v>0.1</x:v>
      </x:c>
      <x:c r="E36" s="34" t="n">
        <x:v>0.08</x:v>
      </x:c>
      <x:c r="F36" s="34" t="n">
        <x:v>0.07</x:v>
      </x:c>
    </x:row>
    <x:row r="37">
      <x:c r="A37" t="str">
        <x:v>Reported revenue / gross bookings</x:v>
      </x:c>
      <x:c r="B37" s="34" t="n">
        <x:v>0.245</x:v>
      </x:c>
      <x:c r="C37" s="34" t="n">
        <x:v>0.242</x:v>
      </x:c>
      <x:c r="D37" s="34" t="n">
        <x:v>0.24</x:v>
      </x:c>
      <x:c r="E37" s="34" t="n">
        <x:v>0.238</x:v>
      </x:c>
      <x:c r="F37" s="34" t="n">
        <x:v>0.236</x:v>
      </x:c>
    </x:row>
    <x:row r="38">
      <x:c r="A38" t="str">
        <x:v>EBIT margin</x:v>
      </x:c>
      <x:c r="B38" s="34" t="n">
        <x:v>0.122</x:v>
      </x:c>
      <x:c r="C38" s="34" t="n">
        <x:v>0.125</x:v>
      </x:c>
      <x:c r="D38" s="34" t="n">
        <x:v>0.13</x:v>
      </x:c>
      <x:c r="E38" s="34" t="n">
        <x:v>0.135</x:v>
      </x:c>
      <x:c r="F38" s="34" t="n">
        <x:v>0.14</x:v>
      </x:c>
    </x:row>
    <x:row r="39">
      <x:c r="A39" t="str">
        <x:v>WACC</x:v>
      </x:c>
      <x:c r="B39" s="34" t="n">
        <x:v>0.11</x:v>
      </x:c>
    </x:row>
    <x:row r="40">
      <x:c r="A40" t="str">
        <x:v>Terminal growth</x:v>
      </x:c>
      <x:c r="B40" s="34" t="n">
        <x:v>0.025</x:v>
      </x:c>
    </x:row>
    <x:row r="41">
      <x:c r="A41" t="str">
        <x:v>Proposed M&amp;A net-value overlay ($mm)</x:v>
      </x:c>
      <x:c r="B41" s="32" t="n">
        <x:v>-5000</x:v>
      </x:c>
    </x:row>
    <x:row r="45">
      <x:c r="A45" s="23" t="str">
        <x:v>BULL CASE</x:v>
      </x:c>
      <x:c r="B45" s="23" t="n">
        <x:v>2026</x:v>
      </x:c>
      <x:c r="C45" s="23" t="n">
        <x:v>2027</x:v>
      </x:c>
      <x:c r="D45" s="23" t="n">
        <x:v>2028</x:v>
      </x:c>
      <x:c r="E45" s="23" t="n">
        <x:v>2029</x:v>
      </x:c>
      <x:c r="F45" s="23" t="n">
        <x:v>2030</x:v>
      </x:c>
    </x:row>
    <x:row r="46">
      <x:c r="A46" t="str">
        <x:v>Gross bookings growth</x:v>
      </x:c>
      <x:c r="B46" s="34" t="n">
        <x:v>0.22</x:v>
      </x:c>
      <x:c r="C46" s="34" t="n">
        <x:v>0.2</x:v>
      </x:c>
      <x:c r="D46" s="34" t="n">
        <x:v>0.17</x:v>
      </x:c>
      <x:c r="E46" s="34" t="n">
        <x:v>0.15</x:v>
      </x:c>
      <x:c r="F46" s="34" t="n">
        <x:v>0.13</x:v>
      </x:c>
    </x:row>
    <x:row r="47">
      <x:c r="A47" t="str">
        <x:v>Reported revenue / gross bookings</x:v>
      </x:c>
      <x:c r="B47" s="34" t="n">
        <x:v>0.255</x:v>
      </x:c>
      <x:c r="C47" s="34" t="n">
        <x:v>0.258</x:v>
      </x:c>
      <x:c r="D47" s="34" t="n">
        <x:v>0.26</x:v>
      </x:c>
      <x:c r="E47" s="34" t="n">
        <x:v>0.263</x:v>
      </x:c>
      <x:c r="F47" s="34" t="n">
        <x:v>0.265</x:v>
      </x:c>
    </x:row>
    <x:row r="48">
      <x:c r="A48" t="str">
        <x:v>EBIT margin</x:v>
      </x:c>
      <x:c r="B48" s="34" t="n">
        <x:v>0.155</x:v>
      </x:c>
      <x:c r="C48" s="34" t="n">
        <x:v>0.17</x:v>
      </x:c>
      <x:c r="D48" s="34" t="n">
        <x:v>0.185</x:v>
      </x:c>
      <x:c r="E48" s="34" t="n">
        <x:v>0.195</x:v>
      </x:c>
      <x:c r="F48" s="34" t="n">
        <x:v>0.205</x:v>
      </x:c>
    </x:row>
    <x:row r="49">
      <x:c r="A49" t="str">
        <x:v>WACC</x:v>
      </x:c>
      <x:c r="B49" s="34" t="n">
        <x:v>0.09</x:v>
      </x:c>
    </x:row>
    <x:row r="50">
      <x:c r="A50" t="str">
        <x:v>Terminal growth</x:v>
      </x:c>
      <x:c r="B50" s="34" t="n">
        <x:v>0.03</x:v>
      </x:c>
    </x:row>
    <x:row r="51">
      <x:c r="A51" t="str">
        <x:v>Proposed M&amp;A net-value overlay ($mm)</x:v>
      </x:c>
      <x:c r="B51" s="32" t="n">
        <x:v>5000</x:v>
      </x:c>
    </x:row>
    <x:row r="63">
      <x:c r="A63" t="str">
        <x:v>Model caveat: these forward drivers are original analyst scenarios, not management guidance or consensus estimates.</x:v>
      </x:c>
    </x:row>
    <x:row r="64">
      <x:c r="A64" t="str">
        <x:v>Revenue/bookings ratio reflects GAAP presentation (incl. UK changes), not a clean economic fee take rate.</x:v>
      </x:c>
    </x:row>
    <x:row r="65">
      <x:c r="A65" t="str">
        <x:v>M&amp;A overlay is an explicitly un-underwritten scenario assumption, not a forecast of Delivery Hero deal NPV.</x:v>
      </x:c>
    </x:row>
  </x:sheetData>
  <x:mergeCells>
    <x:mergeCell ref="A1:H2"/>
    <x:mergeCell ref="A4:H4"/>
    <x:mergeCell ref="A22:H2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7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 ht="23" customHeight="1">
      <x:c r="A1" s="4" t="str">
        <x:v>UBER | FORECAST BASE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3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4">
      <x:c r="A4" s="9" t="str">
        <x:v>$mm except ratios</x:v>
      </x:c>
      <x:c r="B4" s="9" t="str">
        <x:v>2026E</x:v>
      </x:c>
      <x:c r="C4" s="9" t="str">
        <x:v>2027E</x:v>
      </x:c>
      <x:c r="D4" s="9" t="str">
        <x:v>2028E</x:v>
      </x:c>
      <x:c r="E4" s="9" t="str">
        <x:v>2029E</x:v>
      </x:c>
      <x:c r="F4" s="9" t="str">
        <x:v>2030E</x:v>
      </x:c>
    </x:row>
    <x:row r="5" ht="23" customHeight="1">
      <x:c r="A5" s="23" t="str">
        <x:v>BOOKINGS, REVENUE &amp; MARGINS</x:v>
      </x:c>
      <x:c r="B5" s="23"/>
      <x:c r="C5" s="23"/>
      <x:c r="D5" s="23"/>
      <x:c r="E5" s="23"/>
      <x:c r="F5" s="23"/>
    </x:row>
    <x:row r="6">
      <x:c r="A6" t="str">
        <x:v>Gross bookings growth</x:v>
      </x:c>
      <x:c r="B6" s="12" t="n">
        <x:f>Assumptions!B26</x:f>
        <x:v>0.19</x:v>
      </x:c>
      <x:c r="C6" s="12" t="n">
        <x:f>Assumptions!C26</x:f>
        <x:v>0.16</x:v>
      </x:c>
      <x:c r="D6" s="12" t="n">
        <x:f>Assumptions!D26</x:f>
        <x:v>0.14</x:v>
      </x:c>
      <x:c r="E6" s="12" t="n">
        <x:f>Assumptions!E26</x:f>
        <x:v>0.12</x:v>
      </x:c>
      <x:c r="F6" s="12" t="n">
        <x:f>Assumptions!F26</x:f>
        <x:v>0.1</x:v>
      </x:c>
    </x:row>
    <x:row r="7">
      <x:c r="A7" t="str">
        <x:v>Gross bookings ($mm)</x:v>
      </x:c>
      <x:c r="B7" s="42" t="n">
        <x:f>Historical!$D$5*(1+B6)</x:f>
        <x:v>230210.25999999998</x:v>
      </x:c>
      <x:c r="C7" s="42" t="n">
        <x:f>B7*(1+C6)</x:f>
        <x:v>267043.9016</x:v>
      </x:c>
      <x:c r="D7" s="42" t="n">
        <x:f>C7*(1+D6)</x:f>
        <x:v>304430.047824</x:v>
      </x:c>
      <x:c r="E7" s="42" t="n">
        <x:f>D7*(1+E6)</x:f>
        <x:v>340961.65356288006</x:v>
      </x:c>
      <x:c r="F7" s="42" t="n">
        <x:f>E7*(1+F6)</x:f>
        <x:v>375057.8189191681</x:v>
      </x:c>
    </x:row>
    <x:row r="8">
      <x:c r="A8" t="str">
        <x:v>Reported revenue / bookings</x:v>
      </x:c>
      <x:c r="B8" s="12" t="n">
        <x:f>Assumptions!B27</x:f>
        <x:v>0.251</x:v>
      </x:c>
      <x:c r="C8" s="12" t="n">
        <x:f>Assumptions!C27</x:f>
        <x:v>0.252</x:v>
      </x:c>
      <x:c r="D8" s="12" t="n">
        <x:f>Assumptions!D27</x:f>
        <x:v>0.253</x:v>
      </x:c>
      <x:c r="E8" s="12" t="n">
        <x:f>Assumptions!E27</x:f>
        <x:v>0.254</x:v>
      </x:c>
      <x:c r="F8" s="12" t="n">
        <x:f>Assumptions!F27</x:f>
        <x:v>0.2545</x:v>
      </x:c>
    </x:row>
    <x:row r="9">
      <x:c r="A9" t="str">
        <x:v>Reported revenue ($mm)</x:v>
      </x:c>
      <x:c r="B9" s="42" t="n">
        <x:f>B7*B8</x:f>
        <x:v>57782.775259999995</x:v>
      </x:c>
      <x:c r="C9" s="42" t="n">
        <x:f>C7*C8</x:f>
        <x:v>67295.0632032</x:v>
      </x:c>
      <x:c r="D9" s="42" t="n">
        <x:f>D7*D8</x:f>
        <x:v>77020.802099472</x:v>
      </x:c>
      <x:c r="E9" s="42" t="n">
        <x:f>E7*E8</x:f>
        <x:v>86604.26000497154</x:v>
      </x:c>
      <x:c r="F9" s="42" t="n">
        <x:f>F7*F8</x:f>
        <x:v>95452.21491492828</x:v>
      </x:c>
    </x:row>
    <x:row r="10">
      <x:c r="A10" t="str">
        <x:v>Reported revenue growth</x:v>
      </x:c>
      <x:c r="B10" s="12" t="n">
        <x:f>B9/Historical!$D$6-1</x:f>
        <x:v>0.11084405598169811</x:v>
      </x:c>
      <x:c r="C10" s="12" t="n">
        <x:f>C9/B9-1</x:f>
        <x:v>0.1646215139442233</x:v>
      </x:c>
      <x:c r="D10" s="12" t="n">
        <x:f>D9/C9-1</x:f>
        <x:v>0.1445238095238095</x:v>
      </x:c>
      <x:c r="E10" s="12" t="n">
        <x:f>E9/D9-1</x:f>
        <x:v>0.12442687747035608</x:v>
      </x:c>
      <x:c r="F10" s="12" t="n">
        <x:f>F9/E9-1</x:f>
        <x:v>0.10216535433070861</x:v>
      </x:c>
    </x:row>
    <x:row r="11">
      <x:c r="A11" t="str">
        <x:v>GAAP operating margin</x:v>
      </x:c>
      <x:c r="B11" s="12" t="n">
        <x:f>Assumptions!B28</x:f>
        <x:v>0.14</x:v>
      </x:c>
      <x:c r="C11" s="12" t="n">
        <x:f>Assumptions!C28</x:f>
        <x:v>0.15</x:v>
      </x:c>
      <x:c r="D11" s="12" t="n">
        <x:f>Assumptions!D28</x:f>
        <x:v>0.16</x:v>
      </x:c>
      <x:c r="E11" s="12" t="n">
        <x:f>Assumptions!E28</x:f>
        <x:v>0.1675</x:v>
      </x:c>
      <x:c r="F11" s="12" t="n">
        <x:f>Assumptions!F28</x:f>
        <x:v>0.1725</x:v>
      </x:c>
    </x:row>
    <x:row r="12">
      <x:c r="A12" t="str">
        <x:v>GAAP EBIT ($mm)</x:v>
      </x:c>
      <x:c r="B12" s="14" t="n">
        <x:f>B9*B11</x:f>
        <x:v>8089.5885364</x:v>
      </x:c>
      <x:c r="C12" s="14" t="n">
        <x:f>C9*C11</x:f>
        <x:v>10094.25948048</x:v>
      </x:c>
      <x:c r="D12" s="14" t="n">
        <x:f>D9*D11</x:f>
        <x:v>12323.32833591552</x:v>
      </x:c>
      <x:c r="E12" s="14" t="n">
        <x:f>E9*E11</x:f>
        <x:v>14506.213550832734</x:v>
      </x:c>
      <x:c r="F12" s="14" t="n">
        <x:f>F9*F11</x:f>
        <x:v>16465.507072825127</x:v>
      </x:c>
    </x:row>
    <x:row r="13">
      <x:c r="A13" t="str">
        <x:v>Cash tax rate</x:v>
      </x:c>
      <x:c r="B13" s="12" t="n">
        <x:f>Assumptions!$B$14</x:f>
        <x:v>0.25</x:v>
      </x:c>
      <x:c r="C13" s="12" t="n">
        <x:f>Assumptions!$B$14</x:f>
        <x:v>0.25</x:v>
      </x:c>
      <x:c r="D13" s="12" t="n">
        <x:f>Assumptions!$B$14</x:f>
        <x:v>0.25</x:v>
      </x:c>
      <x:c r="E13" s="12" t="n">
        <x:f>Assumptions!$B$14</x:f>
        <x:v>0.25</x:v>
      </x:c>
      <x:c r="F13" s="12" t="n">
        <x:f>Assumptions!$B$14</x:f>
        <x:v>0.25</x:v>
      </x:c>
    </x:row>
    <x:row r="14">
      <x:c r="A14" t="str">
        <x:v>After-tax operating profit</x:v>
      </x:c>
      <x:c r="B14" s="14" t="n">
        <x:f>B12*(1-B13)</x:f>
        <x:v>6067.1914023</x:v>
      </x:c>
      <x:c r="C14" s="14" t="n">
        <x:f>C12*(1-C13)</x:f>
        <x:v>7570.694610359999</x:v>
      </x:c>
      <x:c r="D14" s="14" t="n">
        <x:f>D12*(1-D13)</x:f>
        <x:v>9242.49625193664</x:v>
      </x:c>
      <x:c r="E14" s="14" t="n">
        <x:f>E12*(1-E13)</x:f>
        <x:v>10879.66016312455</x:v>
      </x:c>
      <x:c r="F14" s="14" t="n">
        <x:f>F12*(1-F13)</x:f>
        <x:v>12349.130304618844</x:v>
      </x:c>
    </x:row>
    <x:row r="15">
      <x:c r="A15" t="str">
        <x:v>D&amp;A / revenue</x:v>
      </x:c>
      <x:c r="B15" s="12" t="n">
        <x:f>Assumptions!$B$15</x:f>
        <x:v>0.014</x:v>
      </x:c>
      <x:c r="C15" s="12" t="n">
        <x:f>Assumptions!$B$15</x:f>
        <x:v>0.014</x:v>
      </x:c>
      <x:c r="D15" s="12" t="n">
        <x:f>Assumptions!$B$15</x:f>
        <x:v>0.014</x:v>
      </x:c>
      <x:c r="E15" s="12" t="n">
        <x:f>Assumptions!$B$15</x:f>
        <x:v>0.014</x:v>
      </x:c>
      <x:c r="F15" s="12" t="n">
        <x:f>Assumptions!$B$15</x:f>
        <x:v>0.014</x:v>
      </x:c>
    </x:row>
    <x:row r="16">
      <x:c r="A16" t="str">
        <x:v>D&amp;A ($mm)</x:v>
      </x:c>
      <x:c r="B16" s="14" t="n">
        <x:f>B9*B15</x:f>
        <x:v>808.9588536399999</x:v>
      </x:c>
      <x:c r="C16" s="14" t="n">
        <x:f>C9*C15</x:f>
        <x:v>942.1308848448</x:v>
      </x:c>
      <x:c r="D16" s="14" t="n">
        <x:f>D9*D15</x:f>
        <x:v>1078.291229392608</x:v>
      </x:c>
      <x:c r="E16" s="14" t="n">
        <x:f>E9*E15</x:f>
        <x:v>1212.4596400696016</x:v>
      </x:c>
      <x:c r="F16" s="14" t="n">
        <x:f>F9*F15</x:f>
        <x:v>1336.3310088089959</x:v>
      </x:c>
    </x:row>
    <x:row r="17">
      <x:c r="A17" t="str">
        <x:v>Capex / revenue</x:v>
      </x:c>
      <x:c r="B17" s="12" t="n">
        <x:f>Assumptions!$B$16</x:f>
        <x:v>0.007</x:v>
      </x:c>
      <x:c r="C17" s="12" t="n">
        <x:f>Assumptions!$B$16</x:f>
        <x:v>0.007</x:v>
      </x:c>
      <x:c r="D17" s="12" t="n">
        <x:f>Assumptions!$B$16</x:f>
        <x:v>0.007</x:v>
      </x:c>
      <x:c r="E17" s="12" t="n">
        <x:f>Assumptions!$B$16</x:f>
        <x:v>0.007</x:v>
      </x:c>
      <x:c r="F17" s="12" t="n">
        <x:f>Assumptions!$B$16</x:f>
        <x:v>0.007</x:v>
      </x:c>
    </x:row>
    <x:row r="18">
      <x:c r="A18" t="str">
        <x:v>Capex ($mm)</x:v>
      </x:c>
      <x:c r="B18" s="14" t="n">
        <x:f>B9*B17</x:f>
        <x:v>404.47942681999996</x:v>
      </x:c>
      <x:c r="C18" s="14" t="n">
        <x:f>C9*C17</x:f>
        <x:v>471.0654424224</x:v>
      </x:c>
      <x:c r="D18" s="14" t="n">
        <x:f>D9*D17</x:f>
        <x:v>539.145614696304</x:v>
      </x:c>
      <x:c r="E18" s="14" t="n">
        <x:f>E9*E17</x:f>
        <x:v>606.2298200348008</x:v>
      </x:c>
      <x:c r="F18" s="14" t="n">
        <x:f>F9*F17</x:f>
        <x:v>668.1655044044979</x:v>
      </x:c>
    </x:row>
    <x:row r="19">
      <x:c r="A19" t="str">
        <x:v>Incremental NWC / revenue change</x:v>
      </x:c>
      <x:c r="B19" s="12" t="n">
        <x:f>Assumptions!$B$17</x:f>
        <x:v>0.008</x:v>
      </x:c>
      <x:c r="C19" s="12" t="n">
        <x:f>Assumptions!$B$17</x:f>
        <x:v>0.008</x:v>
      </x:c>
      <x:c r="D19" s="12" t="n">
        <x:f>Assumptions!$B$17</x:f>
        <x:v>0.008</x:v>
      </x:c>
      <x:c r="E19" s="12" t="n">
        <x:f>Assumptions!$B$17</x:f>
        <x:v>0.008</x:v>
      </x:c>
      <x:c r="F19" s="12" t="n">
        <x:f>Assumptions!$B$17</x:f>
        <x:v>0.008</x:v>
      </x:c>
    </x:row>
    <x:row r="20">
      <x:c r="A20" t="str">
        <x:v>Incremental revenue ($mm)</x:v>
      </x:c>
      <x:c r="B20" s="14" t="n">
        <x:f>B9-Historical!$D$6</x:f>
        <x:v>5765.775259999995</x:v>
      </x:c>
      <x:c r="C20" s="14" t="n">
        <x:f>C9-B9</x:f>
        <x:v>9512.287943200005</x:v>
      </x:c>
      <x:c r="D20" s="14" t="n">
        <x:f>D9-C9</x:f>
        <x:v>9725.738896272</x:v>
      </x:c>
      <x:c r="E20" s="14" t="n">
        <x:f>E9-D9</x:f>
        <x:v>9583.457905499541</x:v>
      </x:c>
      <x:c r="F20" s="14" t="n">
        <x:f>F9-E9</x:f>
        <x:v>8847.954909956738</x:v>
      </x:c>
    </x:row>
    <x:row r="21">
      <x:c r="A21" t="str">
        <x:v>Incremental NWC investment ($mm)</x:v>
      </x:c>
      <x:c r="B21" s="14" t="n">
        <x:f>B20*B19</x:f>
        <x:v>46.12620207999996</x:v>
      </x:c>
      <x:c r="C21" s="14" t="n">
        <x:f>C20*C19</x:f>
        <x:v>76.09830354560003</x:v>
      </x:c>
      <x:c r="D21" s="14" t="n">
        <x:f>D20*D19</x:f>
        <x:v>77.805911170176</x:v>
      </x:c>
      <x:c r="E21" s="14" t="n">
        <x:f>E20*E19</x:f>
        <x:v>76.66766324399633</x:v>
      </x:c>
      <x:c r="F21" s="14" t="n">
        <x:f>F20*F19</x:f>
        <x:v>70.7836392796539</x:v>
      </x:c>
    </x:row>
    <x:row r="22">
      <x:c r="A22" t="str">
        <x:v>Unlevered free cash flow ($mm)</x:v>
      </x:c>
      <x:c r="B22" s="45" t="n">
        <x:f>B14+B16-B18-B21</x:f>
        <x:v>6425.54462704</x:v>
      </x:c>
      <x:c r="C22" s="45" t="n">
        <x:f>C14+C16-C18-C21</x:f>
        <x:v>7965.661749236799</x:v>
      </x:c>
      <x:c r="D22" s="45" t="n">
        <x:f>D14+D16-D18-D21</x:f>
        <x:v>9703.835955462766</x:v>
      </x:c>
      <x:c r="E22" s="45" t="n">
        <x:f>E14+E16-E18-E21</x:f>
        <x:v>11409.222319915354</x:v>
      </x:c>
      <x:c r="F22" s="45" t="n">
        <x:f>F14+F16-F18-F21</x:f>
        <x:v>12946.512169743688</x:v>
      </x:c>
    </x:row>
    <x:row r="23">
      <x:c r="A23" t="str">
        <x:v>UFCF margin</x:v>
      </x:c>
      <x:c r="B23" s="12" t="n">
        <x:f>B22/B9</x:f>
        <x:v>0.11120173093326775</x:v>
      </x:c>
      <x:c r="C23" s="12" t="n">
        <x:f>C22/C9</x:f>
        <x:v>0.11836918445539134</x:v>
      </x:c>
      <x:c r="D23" s="12" t="n">
        <x:f>D22/D9</x:f>
        <x:v>0.1259898065321406</x:v>
      </x:c>
      <x:c r="E23" s="12" t="n">
        <x:f>E22/E9</x:f>
        <x:v>0.13173973565804273</x:v>
      </x:c>
      <x:c r="F23" s="12" t="n">
        <x:f>F22/F9</x:f>
        <x:v>0.1356334390069655</x:v>
      </x:c>
    </x:row>
    <x:row r="24" ht="23" customHeight="1">
      <x:c r="A24" s="23" t="str">
        <x:v>VALUATION TIMING (OCT 21, 2026 REFERENCE)</x:v>
      </x:c>
      <x:c r="B24" s="38"/>
      <x:c r="C24" s="38"/>
      <x:c r="D24" s="38"/>
      <x:c r="E24" s="38"/>
      <x:c r="F24" s="38"/>
    </x:row>
    <x:row r="25">
      <x:c r="A25" t="str">
        <x:v>Cash flow fraction included</x:v>
      </x:c>
      <x:c r="B25" s="12" t="n">
        <x:f>Assumptions!$B$18</x:f>
        <x:v>0.25</x:v>
      </x:c>
      <x:c r="C25" s="12" t="n">
        <x:f>1</x:f>
        <x:v>1</x:v>
      </x:c>
      <x:c r="D25" s="12" t="n">
        <x:f>1</x:f>
        <x:v>1</x:v>
      </x:c>
      <x:c r="E25" s="12" t="n">
        <x:f>1</x:f>
        <x:v>1</x:v>
      </x:c>
      <x:c r="F25" s="12" t="n">
        <x:f>1</x:f>
        <x:v>1</x:v>
      </x:c>
    </x:row>
    <x:row r="26">
      <x:c r="A26" t="str">
        <x:v>Years from valuation date</x:v>
      </x:c>
      <x:c r="B26" s="40" t="n">
        <x:f>Assumptions!$B$18+0</x:f>
        <x:v>0.25</x:v>
      </x:c>
      <x:c r="C26" s="40" t="n">
        <x:f>Assumptions!$B$18+1</x:f>
        <x:v>1.25</x:v>
      </x:c>
      <x:c r="D26" s="40" t="n">
        <x:f>Assumptions!$B$18+2</x:f>
        <x:v>2.25</x:v>
      </x:c>
      <x:c r="E26" s="40" t="n">
        <x:f>Assumptions!$B$18+3</x:f>
        <x:v>3.25</x:v>
      </x:c>
      <x:c r="F26" s="40" t="n">
        <x:f>Assumptions!$B$18+4</x:f>
        <x:v>4.25</x:v>
      </x:c>
    </x:row>
    <x:row r="27">
      <x:c r="A27" t="str">
        <x:v>PV of operating UFCF ($mm)</x:v>
      </x:c>
      <x:c r="B27" s="14" t="n">
        <x:f>B22*B25/(1+Assumptions!$B$29)^B26</x:f>
        <x:v>1568.5623323677128</x:v>
      </x:c>
      <x:c r="C27" s="14" t="n">
        <x:f>C22*C25/(1+Assumptions!$B$29)^C26</x:f>
        <x:v>7071.002720018568</x:v>
      </x:c>
      <x:c r="D27" s="14" t="n">
        <x:f>D22*D25/(1+Assumptions!$B$29)^D26</x:f>
        <x:v>7830.868020049293</x:v>
      </x:c>
      <x:c r="E27" s="14" t="n">
        <x:f>E22*E25/(1+Assumptions!$B$29)^E26</x:f>
        <x:v>8370.083992717948</x:v>
      </x:c>
      <x:c r="F27" s="14" t="n">
        <x:f>F22*F25/(1+Assumptions!$B$29)^F26</x:f>
        <x:v>8634.433956143941</x:v>
      </x:c>
    </x:row>
    <x:row r="29">
      <x:c r="A29" t="str">
        <x:v>Caution: full-year 2026 cash flow is multiplied by the unelapsed Q4 fraction; simplistic partial-year convention.</x:v>
      </x:c>
    </x:row>
    <x:row r="30">
      <x:c r="A30" t="str">
        <x:v>Normalized unlevered FCF ≠ company-reported FCF: excludes financing, isolates EBIT after tax, does not add back SBC.</x:v>
      </x:c>
    </x:row>
    <x:row r="31">
      <x:c r="A31" t="str">
        <x:v>No Delivery Hero consolidation is assumed; the deal is treated as a separate uncertain valuation overlay.</x:v>
      </x:c>
    </x:row>
  </x:sheetData>
  <x:mergeCells>
    <x:mergeCell ref="A1:J2"/>
    <x:mergeCell ref="A5:F5"/>
    <x:mergeCell ref="A24:F2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7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 ht="23" customHeight="1">
      <x:c r="A1" s="4" t="str">
        <x:v>UBER | FORECAST BEAR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3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4">
      <x:c r="A4" s="9" t="str">
        <x:v>$mm except ratios</x:v>
      </x:c>
      <x:c r="B4" s="9" t="str">
        <x:v>2026E</x:v>
      </x:c>
      <x:c r="C4" s="9" t="str">
        <x:v>2027E</x:v>
      </x:c>
      <x:c r="D4" s="9" t="str">
        <x:v>2028E</x:v>
      </x:c>
      <x:c r="E4" s="9" t="str">
        <x:v>2029E</x:v>
      </x:c>
      <x:c r="F4" s="9" t="str">
        <x:v>2030E</x:v>
      </x:c>
    </x:row>
    <x:row r="5" ht="23" customHeight="1">
      <x:c r="A5" s="23" t="str">
        <x:v>BOOKINGS, REVENUE &amp; MARGINS</x:v>
      </x:c>
      <x:c r="B5" s="23"/>
      <x:c r="C5" s="23"/>
      <x:c r="D5" s="23"/>
      <x:c r="E5" s="23"/>
      <x:c r="F5" s="23"/>
    </x:row>
    <x:row r="6">
      <x:c r="A6" t="str">
        <x:v>Gross bookings growth</x:v>
      </x:c>
      <x:c r="B6" s="12" t="n">
        <x:f>Assumptions!B36</x:f>
        <x:v>0.16</x:v>
      </x:c>
      <x:c r="C6" s="12" t="n">
        <x:f>Assumptions!C36</x:f>
        <x:v>0.12</x:v>
      </x:c>
      <x:c r="D6" s="12" t="n">
        <x:f>Assumptions!D36</x:f>
        <x:v>0.1</x:v>
      </x:c>
      <x:c r="E6" s="12" t="n">
        <x:f>Assumptions!E36</x:f>
        <x:v>0.08</x:v>
      </x:c>
      <x:c r="F6" s="12" t="n">
        <x:f>Assumptions!F36</x:f>
        <x:v>0.07</x:v>
      </x:c>
    </x:row>
    <x:row r="7">
      <x:c r="A7" t="str">
        <x:v>Gross bookings ($mm)</x:v>
      </x:c>
      <x:c r="B7" s="42" t="n">
        <x:f>Historical!$D$5*(1+B6)</x:f>
        <x:v>224406.63999999998</x:v>
      </x:c>
      <x:c r="C7" s="42" t="n">
        <x:f>B7*(1+C6)</x:f>
        <x:v>251335.4368</x:v>
      </x:c>
      <x:c r="D7" s="42" t="n">
        <x:f>C7*(1+D6)</x:f>
        <x:v>276468.98048</x:v>
      </x:c>
      <x:c r="E7" s="42" t="n">
        <x:f>D7*(1+E6)</x:f>
        <x:v>298586.49891840003</x:v>
      </x:c>
      <x:c r="F7" s="42" t="n">
        <x:f>E7*(1+F6)</x:f>
        <x:v>319487.55384268804</x:v>
      </x:c>
    </x:row>
    <x:row r="8">
      <x:c r="A8" t="str">
        <x:v>Reported revenue / bookings</x:v>
      </x:c>
      <x:c r="B8" s="12" t="n">
        <x:f>Assumptions!B37</x:f>
        <x:v>0.245</x:v>
      </x:c>
      <x:c r="C8" s="12" t="n">
        <x:f>Assumptions!C37</x:f>
        <x:v>0.242</x:v>
      </x:c>
      <x:c r="D8" s="12" t="n">
        <x:f>Assumptions!D37</x:f>
        <x:v>0.24</x:v>
      </x:c>
      <x:c r="E8" s="12" t="n">
        <x:f>Assumptions!E37</x:f>
        <x:v>0.238</x:v>
      </x:c>
      <x:c r="F8" s="12" t="n">
        <x:f>Assumptions!F37</x:f>
        <x:v>0.236</x:v>
      </x:c>
    </x:row>
    <x:row r="9">
      <x:c r="A9" t="str">
        <x:v>Reported revenue ($mm)</x:v>
      </x:c>
      <x:c r="B9" s="42" t="n">
        <x:f>B7*B8</x:f>
        <x:v>54979.6268</x:v>
      </x:c>
      <x:c r="C9" s="42" t="n">
        <x:f>C7*C8</x:f>
        <x:v>60823.1757056</x:v>
      </x:c>
      <x:c r="D9" s="42" t="n">
        <x:f>D7*D8</x:f>
        <x:v>66352.5553152</x:v>
      </x:c>
      <x:c r="E9" s="42" t="n">
        <x:f>E7*E8</x:f>
        <x:v>71063.58674257921</x:v>
      </x:c>
      <x:c r="F9" s="42" t="n">
        <x:f>F7*F8</x:f>
        <x:v>75399.06270687438</x:v>
      </x:c>
    </x:row>
    <x:row r="10">
      <x:c r="A10" t="str">
        <x:v>Reported revenue growth</x:v>
      </x:c>
      <x:c r="B10" s="12" t="n">
        <x:f>B9/Historical!$D$6-1</x:f>
        <x:v>0.05695497241286507</x:v>
      </x:c>
      <x:c r="C10" s="12" t="n">
        <x:f>C9/B9-1</x:f>
        <x:v>0.10628571428571432</x:v>
      </x:c>
      <x:c r="D10" s="12" t="n">
        <x:f>D9/C9-1</x:f>
        <x:v>0.09090909090909105</x:v>
      </x:c>
      <x:c r="E10" s="12" t="n">
        <x:f>E9/D9-1</x:f>
        <x:v>0.07099999999999995</x:v>
      </x:c>
      <x:c r="F10" s="12" t="n">
        <x:f>F9/E9-1</x:f>
        <x:v>0.0610084033613445</x:v>
      </x:c>
    </x:row>
    <x:row r="11">
      <x:c r="A11" t="str">
        <x:v>GAAP operating margin</x:v>
      </x:c>
      <x:c r="B11" s="12" t="n">
        <x:f>Assumptions!B38</x:f>
        <x:v>0.122</x:v>
      </x:c>
      <x:c r="C11" s="12" t="n">
        <x:f>Assumptions!C38</x:f>
        <x:v>0.125</x:v>
      </x:c>
      <x:c r="D11" s="12" t="n">
        <x:f>Assumptions!D38</x:f>
        <x:v>0.13</x:v>
      </x:c>
      <x:c r="E11" s="12" t="n">
        <x:f>Assumptions!E38</x:f>
        <x:v>0.135</x:v>
      </x:c>
      <x:c r="F11" s="12" t="n">
        <x:f>Assumptions!F38</x:f>
        <x:v>0.14</x:v>
      </x:c>
    </x:row>
    <x:row r="12">
      <x:c r="A12" t="str">
        <x:v>GAAP EBIT ($mm)</x:v>
      </x:c>
      <x:c r="B12" s="14" t="n">
        <x:f>B9*B11</x:f>
        <x:v>6707.5144696</x:v>
      </x:c>
      <x:c r="C12" s="14" t="n">
        <x:f>C9*C11</x:f>
        <x:v>7602.8969632</x:v>
      </x:c>
      <x:c r="D12" s="14" t="n">
        <x:f>D9*D11</x:f>
        <x:v>8625.832190976002</x:v>
      </x:c>
      <x:c r="E12" s="14" t="n">
        <x:f>E9*E11</x:f>
        <x:v>9593.584210248195</x:v>
      </x:c>
      <x:c r="F12" s="14" t="n">
        <x:f>F9*F11</x:f>
        <x:v>10555.868778962415</x:v>
      </x:c>
    </x:row>
    <x:row r="13">
      <x:c r="A13" t="str">
        <x:v>Cash tax rate</x:v>
      </x:c>
      <x:c r="B13" s="12" t="n">
        <x:f>Assumptions!$B$14</x:f>
        <x:v>0.25</x:v>
      </x:c>
      <x:c r="C13" s="12" t="n">
        <x:f>Assumptions!$B$14</x:f>
        <x:v>0.25</x:v>
      </x:c>
      <x:c r="D13" s="12" t="n">
        <x:f>Assumptions!$B$14</x:f>
        <x:v>0.25</x:v>
      </x:c>
      <x:c r="E13" s="12" t="n">
        <x:f>Assumptions!$B$14</x:f>
        <x:v>0.25</x:v>
      </x:c>
      <x:c r="F13" s="12" t="n">
        <x:f>Assumptions!$B$14</x:f>
        <x:v>0.25</x:v>
      </x:c>
    </x:row>
    <x:row r="14">
      <x:c r="A14" t="str">
        <x:v>After-tax operating profit</x:v>
      </x:c>
      <x:c r="B14" s="14" t="n">
        <x:f>B12*(1-B13)</x:f>
        <x:v>5030.6358522</x:v>
      </x:c>
      <x:c r="C14" s="14" t="n">
        <x:f>C12*(1-C13)</x:f>
        <x:v>5702.1727224</x:v>
      </x:c>
      <x:c r="D14" s="14" t="n">
        <x:f>D12*(1-D13)</x:f>
        <x:v>6469.374143232001</x:v>
      </x:c>
      <x:c r="E14" s="14" t="n">
        <x:f>E12*(1-E13)</x:f>
        <x:v>7195.188157686146</x:v>
      </x:c>
      <x:c r="F14" s="14" t="n">
        <x:f>F12*(1-F13)</x:f>
        <x:v>7916.9015842218105</x:v>
      </x:c>
    </x:row>
    <x:row r="15">
      <x:c r="A15" t="str">
        <x:v>D&amp;A / revenue</x:v>
      </x:c>
      <x:c r="B15" s="12" t="n">
        <x:f>Assumptions!$B$15</x:f>
        <x:v>0.014</x:v>
      </x:c>
      <x:c r="C15" s="12" t="n">
        <x:f>Assumptions!$B$15</x:f>
        <x:v>0.014</x:v>
      </x:c>
      <x:c r="D15" s="12" t="n">
        <x:f>Assumptions!$B$15</x:f>
        <x:v>0.014</x:v>
      </x:c>
      <x:c r="E15" s="12" t="n">
        <x:f>Assumptions!$B$15</x:f>
        <x:v>0.014</x:v>
      </x:c>
      <x:c r="F15" s="12" t="n">
        <x:f>Assumptions!$B$15</x:f>
        <x:v>0.014</x:v>
      </x:c>
    </x:row>
    <x:row r="16">
      <x:c r="A16" t="str">
        <x:v>D&amp;A ($mm)</x:v>
      </x:c>
      <x:c r="B16" s="14" t="n">
        <x:f>B9*B15</x:f>
        <x:v>769.7147752</x:v>
      </x:c>
      <x:c r="C16" s="14" t="n">
        <x:f>C9*C15</x:f>
        <x:v>851.5244598784</x:v>
      </x:c>
      <x:c r="D16" s="14" t="n">
        <x:f>D9*D15</x:f>
        <x:v>928.9357744128001</x:v>
      </x:c>
      <x:c r="E16" s="14" t="n">
        <x:f>E9*E15</x:f>
        <x:v>994.890214396109</x:v>
      </x:c>
      <x:c r="F16" s="14" t="n">
        <x:f>F9*F15</x:f>
        <x:v>1055.5868778962413</x:v>
      </x:c>
    </x:row>
    <x:row r="17">
      <x:c r="A17" t="str">
        <x:v>Capex / revenue</x:v>
      </x:c>
      <x:c r="B17" s="12" t="n">
        <x:f>Assumptions!$B$16</x:f>
        <x:v>0.007</x:v>
      </x:c>
      <x:c r="C17" s="12" t="n">
        <x:f>Assumptions!$B$16</x:f>
        <x:v>0.007</x:v>
      </x:c>
      <x:c r="D17" s="12" t="n">
        <x:f>Assumptions!$B$16</x:f>
        <x:v>0.007</x:v>
      </x:c>
      <x:c r="E17" s="12" t="n">
        <x:f>Assumptions!$B$16</x:f>
        <x:v>0.007</x:v>
      </x:c>
      <x:c r="F17" s="12" t="n">
        <x:f>Assumptions!$B$16</x:f>
        <x:v>0.007</x:v>
      </x:c>
    </x:row>
    <x:row r="18">
      <x:c r="A18" t="str">
        <x:v>Capex ($mm)</x:v>
      </x:c>
      <x:c r="B18" s="14" t="n">
        <x:f>B9*B17</x:f>
        <x:v>384.8573876</x:v>
      </x:c>
      <x:c r="C18" s="14" t="n">
        <x:f>C9*C17</x:f>
        <x:v>425.7622299392</x:v>
      </x:c>
      <x:c r="D18" s="14" t="n">
        <x:f>D9*D17</x:f>
        <x:v>464.46788720640006</x:v>
      </x:c>
      <x:c r="E18" s="14" t="n">
        <x:f>E9*E17</x:f>
        <x:v>497.4451071980545</x:v>
      </x:c>
      <x:c r="F18" s="14" t="n">
        <x:f>F9*F17</x:f>
        <x:v>527.7934389481206</x:v>
      </x:c>
    </x:row>
    <x:row r="19">
      <x:c r="A19" t="str">
        <x:v>Incremental NWC / revenue change</x:v>
      </x:c>
      <x:c r="B19" s="12" t="n">
        <x:f>Assumptions!$B$17</x:f>
        <x:v>0.008</x:v>
      </x:c>
      <x:c r="C19" s="12" t="n">
        <x:f>Assumptions!$B$17</x:f>
        <x:v>0.008</x:v>
      </x:c>
      <x:c r="D19" s="12" t="n">
        <x:f>Assumptions!$B$17</x:f>
        <x:v>0.008</x:v>
      </x:c>
      <x:c r="E19" s="12" t="n">
        <x:f>Assumptions!$B$17</x:f>
        <x:v>0.008</x:v>
      </x:c>
      <x:c r="F19" s="12" t="n">
        <x:f>Assumptions!$B$17</x:f>
        <x:v>0.008</x:v>
      </x:c>
    </x:row>
    <x:row r="20">
      <x:c r="A20" t="str">
        <x:v>Incremental revenue ($mm)</x:v>
      </x:c>
      <x:c r="B20" s="14" t="n">
        <x:f>B9-Historical!$D$6</x:f>
        <x:v>2962.626799999998</x:v>
      </x:c>
      <x:c r="C20" s="14" t="n">
        <x:f>C9-B9</x:f>
        <x:v>5843.548905600001</x:v>
      </x:c>
      <x:c r="D20" s="14" t="n">
        <x:f>D9-C9</x:f>
        <x:v>5529.379609600008</x:v>
      </x:c>
      <x:c r="E20" s="14" t="n">
        <x:f>E9-D9</x:f>
        <x:v>4711.031427379203</x:v>
      </x:c>
      <x:c r="F20" s="14" t="n">
        <x:f>F9-E9</x:f>
        <x:v>4335.4759642951685</x:v>
      </x:c>
    </x:row>
    <x:row r="21">
      <x:c r="A21" t="str">
        <x:v>Incremental NWC investment ($mm)</x:v>
      </x:c>
      <x:c r="B21" s="14" t="n">
        <x:f>B20*B19</x:f>
        <x:v>23.701014399999988</x:v>
      </x:c>
      <x:c r="C21" s="14" t="n">
        <x:f>C20*C19</x:f>
        <x:v>46.748391244800004</x:v>
      </x:c>
      <x:c r="D21" s="14" t="n">
        <x:f>D20*D19</x:f>
        <x:v>44.235036876800066</x:v>
      </x:c>
      <x:c r="E21" s="14" t="n">
        <x:f>E20*E19</x:f>
        <x:v>37.68825141903363</x:v>
      </x:c>
      <x:c r="F21" s="14" t="n">
        <x:f>F20*F19</x:f>
        <x:v>34.68380771436135</x:v>
      </x:c>
    </x:row>
    <x:row r="22">
      <x:c r="A22" t="str">
        <x:v>Unlevered free cash flow ($mm)</x:v>
      </x:c>
      <x:c r="B22" s="45" t="n">
        <x:f>B14+B16-B18-B21</x:f>
        <x:v>5391.7922254000005</x:v>
      </x:c>
      <x:c r="C22" s="45" t="n">
        <x:f>C14+C16-C18-C21</x:f>
        <x:v>6081.1865610944005</x:v>
      </x:c>
      <x:c r="D22" s="45" t="n">
        <x:f>D14+D16-D18-D21</x:f>
        <x:v>6889.6069935616015</x:v>
      </x:c>
      <x:c r="E22" s="45" t="n">
        <x:f>E14+E16-E18-E21</x:f>
        <x:v>7654.945013465166</x:v>
      </x:c>
      <x:c r="F22" s="45" t="n">
        <x:f>F14+F16-F18-F21</x:f>
        <x:v>8410.011215455568</x:v>
      </x:c>
    </x:row>
    <x:row r="23">
      <x:c r="A23" t="str">
        <x:v>UFCF margin</x:v>
      </x:c>
      <x:c r="B23" s="12" t="n">
        <x:f>B22/B9</x:f>
        <x:v>0.09806891278134322</x:v>
      </x:c>
      <x:c r="C23" s="12" t="n">
        <x:f>C22/C9</x:f>
        <x:v>0.0999814049586777</x:v>
      </x:c>
      <x:c r="D23" s="12" t="n">
        <x:f>D22/D9</x:f>
        <x:v>0.10383333333333335</x:v>
      </x:c>
      <x:c r="E23" s="12" t="n">
        <x:f>E22/E9</x:f>
        <x:v>0.10771965452847806</x:v>
      </x:c>
      <x:c r="F23" s="12" t="n">
        <x:f>F22/F9</x:f>
        <x:v>0.1115399968319341</x:v>
      </x:c>
    </x:row>
    <x:row r="24" ht="23" customHeight="1">
      <x:c r="A24" s="23" t="str">
        <x:v>VALUATION TIMING (OCT 21, 2026 REFERENCE)</x:v>
      </x:c>
      <x:c r="B24" s="38"/>
      <x:c r="C24" s="38"/>
      <x:c r="D24" s="38"/>
      <x:c r="E24" s="38"/>
      <x:c r="F24" s="38"/>
    </x:row>
    <x:row r="25">
      <x:c r="A25" t="str">
        <x:v>Cash flow fraction included</x:v>
      </x:c>
      <x:c r="B25" s="12" t="n">
        <x:f>Assumptions!$B$18</x:f>
        <x:v>0.25</x:v>
      </x:c>
      <x:c r="C25" s="12" t="n">
        <x:f>1</x:f>
        <x:v>1</x:v>
      </x:c>
      <x:c r="D25" s="12" t="n">
        <x:f>1</x:f>
        <x:v>1</x:v>
      </x:c>
      <x:c r="E25" s="12" t="n">
        <x:f>1</x:f>
        <x:v>1</x:v>
      </x:c>
      <x:c r="F25" s="12" t="n">
        <x:f>1</x:f>
        <x:v>1</x:v>
      </x:c>
    </x:row>
    <x:row r="26">
      <x:c r="A26" t="str">
        <x:v>Years from valuation date</x:v>
      </x:c>
      <x:c r="B26" s="40" t="n">
        <x:f>Assumptions!$B$18+0</x:f>
        <x:v>0.25</x:v>
      </x:c>
      <x:c r="C26" s="40" t="n">
        <x:f>Assumptions!$B$18+1</x:f>
        <x:v>1.25</x:v>
      </x:c>
      <x:c r="D26" s="40" t="n">
        <x:f>Assumptions!$B$18+2</x:f>
        <x:v>2.25</x:v>
      </x:c>
      <x:c r="E26" s="40" t="n">
        <x:f>Assumptions!$B$18+3</x:f>
        <x:v>3.25</x:v>
      </x:c>
      <x:c r="F26" s="40" t="n">
        <x:f>Assumptions!$B$18+4</x:f>
        <x:v>4.25</x:v>
      </x:c>
    </x:row>
    <x:row r="27">
      <x:c r="A27" t="str">
        <x:v>PV of operating UFCF ($mm)</x:v>
      </x:c>
      <x:c r="B27" s="14" t="n">
        <x:f>B22*B25/(1+Assumptions!$B$39)^B26</x:f>
        <x:v>1313.2348887814303</x:v>
      </x:c>
      <x:c r="C27" s="14" t="n">
        <x:f>C22*C25/(1+Assumptions!$B$39)^C26</x:f>
        <x:v>5337.4596342515615</x:v>
      </x:c>
      <x:c r="D27" s="14" t="n">
        <x:f>D22*D25/(1+Assumptions!$B$39)^D26</x:f>
        <x:v>5447.757242257795</x:v>
      </x:c>
      <x:c r="E27" s="14" t="n">
        <x:f>E22*E25/(1+Assumptions!$B$39)^E26</x:f>
        <x:v>5453.086595683369</x:v>
      </x:c>
      <x:c r="F27" s="14" t="n">
        <x:f>F22*F25/(1+Assumptions!$B$39)^F26</x:f>
        <x:v>5397.267151662965</x:v>
      </x:c>
    </x:row>
    <x:row r="29">
      <x:c r="A29" t="str">
        <x:v>Caution: full-year 2026 cash flow is multiplied by the unelapsed Q4 fraction; simplistic partial-year convention.</x:v>
      </x:c>
    </x:row>
    <x:row r="30">
      <x:c r="A30" t="str">
        <x:v>Normalized unlevered FCF ≠ company-reported FCF: excludes financing, isolates EBIT after tax, does not add back SBC.</x:v>
      </x:c>
    </x:row>
    <x:row r="31">
      <x:c r="A31" t="str">
        <x:v>No Delivery Hero consolidation is assumed; the deal is treated as a separate uncertain valuation overlay.</x:v>
      </x:c>
    </x:row>
  </x:sheetData>
  <x:mergeCells>
    <x:mergeCell ref="A1:J2"/>
    <x:mergeCell ref="A5:F5"/>
    <x:mergeCell ref="A24:F2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7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 ht="23" customHeight="1">
      <x:c r="A1" s="4" t="str">
        <x:v>UBER | FORECAST BULL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3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4">
      <x:c r="A4" s="9" t="str">
        <x:v>$mm except ratios</x:v>
      </x:c>
      <x:c r="B4" s="9" t="str">
        <x:v>2026E</x:v>
      </x:c>
      <x:c r="C4" s="9" t="str">
        <x:v>2027E</x:v>
      </x:c>
      <x:c r="D4" s="9" t="str">
        <x:v>2028E</x:v>
      </x:c>
      <x:c r="E4" s="9" t="str">
        <x:v>2029E</x:v>
      </x:c>
      <x:c r="F4" s="9" t="str">
        <x:v>2030E</x:v>
      </x:c>
    </x:row>
    <x:row r="5" ht="23" customHeight="1">
      <x:c r="A5" s="23" t="str">
        <x:v>BOOKINGS, REVENUE &amp; MARGINS</x:v>
      </x:c>
      <x:c r="B5" s="23"/>
      <x:c r="C5" s="23"/>
      <x:c r="D5" s="23"/>
      <x:c r="E5" s="23"/>
      <x:c r="F5" s="23"/>
    </x:row>
    <x:row r="6">
      <x:c r="A6" t="str">
        <x:v>Gross bookings growth</x:v>
      </x:c>
      <x:c r="B6" s="12" t="n">
        <x:f>Assumptions!B46</x:f>
        <x:v>0.22</x:v>
      </x:c>
      <x:c r="C6" s="12" t="n">
        <x:f>Assumptions!C46</x:f>
        <x:v>0.2</x:v>
      </x:c>
      <x:c r="D6" s="12" t="n">
        <x:f>Assumptions!D46</x:f>
        <x:v>0.17</x:v>
      </x:c>
      <x:c r="E6" s="12" t="n">
        <x:f>Assumptions!E46</x:f>
        <x:v>0.15</x:v>
      </x:c>
      <x:c r="F6" s="12" t="n">
        <x:f>Assumptions!F46</x:f>
        <x:v>0.13</x:v>
      </x:c>
    </x:row>
    <x:row r="7">
      <x:c r="A7" t="str">
        <x:v>Gross bookings ($mm)</x:v>
      </x:c>
      <x:c r="B7" s="42" t="n">
        <x:f>Historical!$D$5*(1+B6)</x:f>
        <x:v>236013.88</x:v>
      </x:c>
      <x:c r="C7" s="42" t="n">
        <x:f>B7*(1+C6)</x:f>
        <x:v>283216.656</x:v>
      </x:c>
      <x:c r="D7" s="42" t="n">
        <x:f>C7*(1+D6)</x:f>
        <x:v>331363.48752</x:v>
      </x:c>
      <x:c r="E7" s="42" t="n">
        <x:f>D7*(1+E6)</x:f>
        <x:v>381068.010648</x:v>
      </x:c>
      <x:c r="F7" s="42" t="n">
        <x:f>E7*(1+F6)</x:f>
        <x:v>430606.85203223996</x:v>
      </x:c>
    </x:row>
    <x:row r="8">
      <x:c r="A8" t="str">
        <x:v>Reported revenue / bookings</x:v>
      </x:c>
      <x:c r="B8" s="12" t="n">
        <x:f>Assumptions!B47</x:f>
        <x:v>0.255</x:v>
      </x:c>
      <x:c r="C8" s="12" t="n">
        <x:f>Assumptions!C47</x:f>
        <x:v>0.258</x:v>
      </x:c>
      <x:c r="D8" s="12" t="n">
        <x:f>Assumptions!D47</x:f>
        <x:v>0.26</x:v>
      </x:c>
      <x:c r="E8" s="12" t="n">
        <x:f>Assumptions!E47</x:f>
        <x:v>0.263</x:v>
      </x:c>
      <x:c r="F8" s="12" t="n">
        <x:f>Assumptions!F47</x:f>
        <x:v>0.265</x:v>
      </x:c>
    </x:row>
    <x:row r="9">
      <x:c r="A9" t="str">
        <x:v>Reported revenue ($mm)</x:v>
      </x:c>
      <x:c r="B9" s="42" t="n">
        <x:f>B7*B8</x:f>
        <x:v>60183.5394</x:v>
      </x:c>
      <x:c r="C9" s="42" t="n">
        <x:f>C7*C8</x:f>
        <x:v>73069.89724800001</x:v>
      </x:c>
      <x:c r="D9" s="42" t="n">
        <x:f>D7*D8</x:f>
        <x:v>86154.50675520001</x:v>
      </x:c>
      <x:c r="E9" s="42" t="n">
        <x:f>E7*E8</x:f>
        <x:v>100220.886800424</x:v>
      </x:c>
      <x:c r="F9" s="42" t="n">
        <x:f>F7*F8</x:f>
        <x:v>114110.8157885436</x:v>
      </x:c>
    </x:row>
    <x:row r="10">
      <x:c r="A10" t="str">
        <x:v>Reported revenue growth</x:v>
      </x:c>
      <x:c r="B10" s="12" t="n">
        <x:f>B9/Historical!$D$6-1</x:f>
        <x:v>0.15699750850683425</x:v>
      </x:c>
      <x:c r="C10" s="12" t="n">
        <x:f>C9/B9-1</x:f>
        <x:v>0.21411764705882375</x:v>
      </x:c>
      <x:c r="D10" s="12" t="n">
        <x:f>D9/C9-1</x:f>
        <x:v>0.17906976744186043</x:v>
      </x:c>
      <x:c r="E10" s="12" t="n">
        <x:f>E9/D9-1</x:f>
        <x:v>0.16326923076923072</x:v>
      </x:c>
      <x:c r="F10" s="12" t="n">
        <x:f>F9/E9-1</x:f>
        <x:v>0.13859315589353605</x:v>
      </x:c>
    </x:row>
    <x:row r="11">
      <x:c r="A11" t="str">
        <x:v>GAAP operating margin</x:v>
      </x:c>
      <x:c r="B11" s="12" t="n">
        <x:f>Assumptions!B48</x:f>
        <x:v>0.155</x:v>
      </x:c>
      <x:c r="C11" s="12" t="n">
        <x:f>Assumptions!C48</x:f>
        <x:v>0.17</x:v>
      </x:c>
      <x:c r="D11" s="12" t="n">
        <x:f>Assumptions!D48</x:f>
        <x:v>0.185</x:v>
      </x:c>
      <x:c r="E11" s="12" t="n">
        <x:f>Assumptions!E48</x:f>
        <x:v>0.195</x:v>
      </x:c>
      <x:c r="F11" s="12" t="n">
        <x:f>Assumptions!F48</x:f>
        <x:v>0.205</x:v>
      </x:c>
    </x:row>
    <x:row r="12">
      <x:c r="A12" t="str">
        <x:v>GAAP EBIT ($mm)</x:v>
      </x:c>
      <x:c r="B12" s="14" t="n">
        <x:f>B9*B11</x:f>
        <x:v>9328.448607</x:v>
      </x:c>
      <x:c r="C12" s="14" t="n">
        <x:f>C9*C11</x:f>
        <x:v>12421.882532160002</x:v>
      </x:c>
      <x:c r="D12" s="14" t="n">
        <x:f>D9*D11</x:f>
        <x:v>15938.583749712001</x:v>
      </x:c>
      <x:c r="E12" s="14" t="n">
        <x:f>E9*E11</x:f>
        <x:v>19543.07292608268</x:v>
      </x:c>
      <x:c r="F12" s="14" t="n">
        <x:f>F9*F11</x:f>
        <x:v>23392.717236651435</x:v>
      </x:c>
    </x:row>
    <x:row r="13">
      <x:c r="A13" t="str">
        <x:v>Cash tax rate</x:v>
      </x:c>
      <x:c r="B13" s="12" t="n">
        <x:f>Assumptions!$B$14</x:f>
        <x:v>0.25</x:v>
      </x:c>
      <x:c r="C13" s="12" t="n">
        <x:f>Assumptions!$B$14</x:f>
        <x:v>0.25</x:v>
      </x:c>
      <x:c r="D13" s="12" t="n">
        <x:f>Assumptions!$B$14</x:f>
        <x:v>0.25</x:v>
      </x:c>
      <x:c r="E13" s="12" t="n">
        <x:f>Assumptions!$B$14</x:f>
        <x:v>0.25</x:v>
      </x:c>
      <x:c r="F13" s="12" t="n">
        <x:f>Assumptions!$B$14</x:f>
        <x:v>0.25</x:v>
      </x:c>
    </x:row>
    <x:row r="14">
      <x:c r="A14" t="str">
        <x:v>After-tax operating profit</x:v>
      </x:c>
      <x:c r="B14" s="14" t="n">
        <x:f>B12*(1-B13)</x:f>
        <x:v>6996.336455250001</x:v>
      </x:c>
      <x:c r="C14" s="14" t="n">
        <x:f>C12*(1-C13)</x:f>
        <x:v>9316.411899120001</x:v>
      </x:c>
      <x:c r="D14" s="14" t="n">
        <x:f>D12*(1-D13)</x:f>
        <x:v>11953.937812284</x:v>
      </x:c>
      <x:c r="E14" s="14" t="n">
        <x:f>E12*(1-E13)</x:f>
        <x:v>14657.304694562012</x:v>
      </x:c>
      <x:c r="F14" s="14" t="n">
        <x:f>F12*(1-F13)</x:f>
        <x:v>17544.537927488578</x:v>
      </x:c>
    </x:row>
    <x:row r="15">
      <x:c r="A15" t="str">
        <x:v>D&amp;A / revenue</x:v>
      </x:c>
      <x:c r="B15" s="12" t="n">
        <x:f>Assumptions!$B$15</x:f>
        <x:v>0.014</x:v>
      </x:c>
      <x:c r="C15" s="12" t="n">
        <x:f>Assumptions!$B$15</x:f>
        <x:v>0.014</x:v>
      </x:c>
      <x:c r="D15" s="12" t="n">
        <x:f>Assumptions!$B$15</x:f>
        <x:v>0.014</x:v>
      </x:c>
      <x:c r="E15" s="12" t="n">
        <x:f>Assumptions!$B$15</x:f>
        <x:v>0.014</x:v>
      </x:c>
      <x:c r="F15" s="12" t="n">
        <x:f>Assumptions!$B$15</x:f>
        <x:v>0.014</x:v>
      </x:c>
    </x:row>
    <x:row r="16">
      <x:c r="A16" t="str">
        <x:v>D&amp;A ($mm)</x:v>
      </x:c>
      <x:c r="B16" s="14" t="n">
        <x:f>B9*B15</x:f>
        <x:v>842.5695516000001</x:v>
      </x:c>
      <x:c r="C16" s="14" t="n">
        <x:f>C9*C15</x:f>
        <x:v>1022.9785614720001</x:v>
      </x:c>
      <x:c r="D16" s="14" t="n">
        <x:f>D9*D15</x:f>
        <x:v>1206.1630945728002</x:v>
      </x:c>
      <x:c r="E16" s="14" t="n">
        <x:f>E9*E15</x:f>
        <x:v>1403.092415205936</x:v>
      </x:c>
      <x:c r="F16" s="14" t="n">
        <x:f>F9*F15</x:f>
        <x:v>1597.5514210396104</x:v>
      </x:c>
    </x:row>
    <x:row r="17">
      <x:c r="A17" t="str">
        <x:v>Capex / revenue</x:v>
      </x:c>
      <x:c r="B17" s="12" t="n">
        <x:f>Assumptions!$B$16</x:f>
        <x:v>0.007</x:v>
      </x:c>
      <x:c r="C17" s="12" t="n">
        <x:f>Assumptions!$B$16</x:f>
        <x:v>0.007</x:v>
      </x:c>
      <x:c r="D17" s="12" t="n">
        <x:f>Assumptions!$B$16</x:f>
        <x:v>0.007</x:v>
      </x:c>
      <x:c r="E17" s="12" t="n">
        <x:f>Assumptions!$B$16</x:f>
        <x:v>0.007</x:v>
      </x:c>
      <x:c r="F17" s="12" t="n">
        <x:f>Assumptions!$B$16</x:f>
        <x:v>0.007</x:v>
      </x:c>
    </x:row>
    <x:row r="18">
      <x:c r="A18" t="str">
        <x:v>Capex ($mm)</x:v>
      </x:c>
      <x:c r="B18" s="14" t="n">
        <x:f>B9*B17</x:f>
        <x:v>421.28477580000003</x:v>
      </x:c>
      <x:c r="C18" s="14" t="n">
        <x:f>C9*C17</x:f>
        <x:v>511.48928073600007</x:v>
      </x:c>
      <x:c r="D18" s="14" t="n">
        <x:f>D9*D17</x:f>
        <x:v>603.0815472864001</x:v>
      </x:c>
      <x:c r="E18" s="14" t="n">
        <x:f>E9*E17</x:f>
        <x:v>701.546207602968</x:v>
      </x:c>
      <x:c r="F18" s="14" t="n">
        <x:f>F9*F17</x:f>
        <x:v>798.7757105198052</x:v>
      </x:c>
    </x:row>
    <x:row r="19">
      <x:c r="A19" t="str">
        <x:v>Incremental NWC / revenue change</x:v>
      </x:c>
      <x:c r="B19" s="12" t="n">
        <x:f>Assumptions!$B$17</x:f>
        <x:v>0.008</x:v>
      </x:c>
      <x:c r="C19" s="12" t="n">
        <x:f>Assumptions!$B$17</x:f>
        <x:v>0.008</x:v>
      </x:c>
      <x:c r="D19" s="12" t="n">
        <x:f>Assumptions!$B$17</x:f>
        <x:v>0.008</x:v>
      </x:c>
      <x:c r="E19" s="12" t="n">
        <x:f>Assumptions!$B$17</x:f>
        <x:v>0.008</x:v>
      </x:c>
      <x:c r="F19" s="12" t="n">
        <x:f>Assumptions!$B$17</x:f>
        <x:v>0.008</x:v>
      </x:c>
    </x:row>
    <x:row r="20">
      <x:c r="A20" t="str">
        <x:v>Incremental revenue ($mm)</x:v>
      </x:c>
      <x:c r="B20" s="14" t="n">
        <x:f>B9-Historical!$D$6</x:f>
        <x:v>8166.5394000000015</x:v>
      </x:c>
      <x:c r="C20" s="14" t="n">
        <x:f>C9-B9</x:f>
        <x:v>12886.357848000007</x:v>
      </x:c>
      <x:c r="D20" s="14" t="n">
        <x:f>D9-C9</x:f>
        <x:v>13084.609507200003</x:v>
      </x:c>
      <x:c r="E20" s="14" t="n">
        <x:f>E9-D9</x:f>
        <x:v>14066.380045223996</x:v>
      </x:c>
      <x:c r="F20" s="14" t="n">
        <x:f>F9-E9</x:f>
        <x:v>13889.928988119587</x:v>
      </x:c>
    </x:row>
    <x:row r="21">
      <x:c r="A21" t="str">
        <x:v>Incremental NWC investment ($mm)</x:v>
      </x:c>
      <x:c r="B21" s="14" t="n">
        <x:f>B20*B19</x:f>
        <x:v>65.33231520000001</x:v>
      </x:c>
      <x:c r="C21" s="14" t="n">
        <x:f>C20*C19</x:f>
        <x:v>103.09086278400005</x:v>
      </x:c>
      <x:c r="D21" s="14" t="n">
        <x:f>D20*D19</x:f>
        <x:v>104.67687605760003</x:v>
      </x:c>
      <x:c r="E21" s="14" t="n">
        <x:f>E20*E19</x:f>
        <x:v>112.53104036179197</x:v>
      </x:c>
      <x:c r="F21" s="14" t="n">
        <x:f>F20*F19</x:f>
        <x:v>111.1194319049567</x:v>
      </x:c>
    </x:row>
    <x:row r="22">
      <x:c r="A22" t="str">
        <x:v>Unlevered free cash flow ($mm)</x:v>
      </x:c>
      <x:c r="B22" s="45" t="n">
        <x:f>B14+B16-B18-B21</x:f>
        <x:v>7352.28891585</x:v>
      </x:c>
      <x:c r="C22" s="45" t="n">
        <x:f>C14+C16-C18-C21</x:f>
        <x:v>9724.810317072002</x:v>
      </x:c>
      <x:c r="D22" s="45" t="n">
        <x:f>D14+D16-D18-D21</x:f>
        <x:v>12452.342483512803</x:v>
      </x:c>
      <x:c r="E22" s="45" t="n">
        <x:f>E14+E16-E18-E21</x:f>
        <x:v>15246.31986180319</x:v>
      </x:c>
      <x:c r="F22" s="45" t="n">
        <x:f>F14+F16-F18-F21</x:f>
        <x:v>18232.194206103424</x:v>
      </x:c>
    </x:row>
    <x:row r="23">
      <x:c r="A23" t="str">
        <x:v>UFCF margin</x:v>
      </x:c>
      <x:c r="B23" s="12" t="n">
        <x:f>B22/B9</x:f>
        <x:v>0.12216444877035597</x:v>
      </x:c>
      <x:c r="C23" s="12" t="n">
        <x:f>C22/C9</x:f>
        <x:v>0.13308914728682172</x:v>
      </x:c>
      <x:c r="D23" s="12" t="n">
        <x:f>D22/D9</x:f>
        <x:v>0.14453500986193296</x:v>
      </x:c>
      <x:c r="E23" s="12" t="n">
        <x:f>E22/E9</x:f>
        <x:v>0.15212716978012897</x:v>
      </x:c>
      <x:c r="F23" s="12" t="n">
        <x:f>F22/F9</x:f>
        <x:v>0.1597762147269995</x:v>
      </x:c>
    </x:row>
    <x:row r="24" ht="23" customHeight="1">
      <x:c r="A24" s="23" t="str">
        <x:v>VALUATION TIMING (OCT 21, 2026 REFERENCE)</x:v>
      </x:c>
      <x:c r="B24" s="38"/>
      <x:c r="C24" s="38"/>
      <x:c r="D24" s="38"/>
      <x:c r="E24" s="38"/>
      <x:c r="F24" s="38"/>
    </x:row>
    <x:row r="25">
      <x:c r="A25" t="str">
        <x:v>Cash flow fraction included</x:v>
      </x:c>
      <x:c r="B25" s="12" t="n">
        <x:f>Assumptions!$B$18</x:f>
        <x:v>0.25</x:v>
      </x:c>
      <x:c r="C25" s="12" t="n">
        <x:f>1</x:f>
        <x:v>1</x:v>
      </x:c>
      <x:c r="D25" s="12" t="n">
        <x:f>1</x:f>
        <x:v>1</x:v>
      </x:c>
      <x:c r="E25" s="12" t="n">
        <x:f>1</x:f>
        <x:v>1</x:v>
      </x:c>
      <x:c r="F25" s="12" t="n">
        <x:f>1</x:f>
        <x:v>1</x:v>
      </x:c>
    </x:row>
    <x:row r="26">
      <x:c r="A26" t="str">
        <x:v>Years from valuation date</x:v>
      </x:c>
      <x:c r="B26" s="40" t="n">
        <x:f>Assumptions!$B$18+0</x:f>
        <x:v>0.25</x:v>
      </x:c>
      <x:c r="C26" s="40" t="n">
        <x:f>Assumptions!$B$18+1</x:f>
        <x:v>1.25</x:v>
      </x:c>
      <x:c r="D26" s="40" t="n">
        <x:f>Assumptions!$B$18+2</x:f>
        <x:v>2.25</x:v>
      </x:c>
      <x:c r="E26" s="40" t="n">
        <x:f>Assumptions!$B$18+3</x:f>
        <x:v>3.25</x:v>
      </x:c>
      <x:c r="F26" s="40" t="n">
        <x:f>Assumptions!$B$18+4</x:f>
        <x:v>4.25</x:v>
      </x:c>
    </x:row>
    <x:row r="27">
      <x:c r="A27" t="str">
        <x:v>PV of operating UFCF ($mm)</x:v>
      </x:c>
      <x:c r="B27" s="14" t="n">
        <x:f>B22*B25/(1+Assumptions!$B$49)^B26</x:f>
        <x:v>1798.8955561833402</x:v>
      </x:c>
      <x:c r="C27" s="14" t="n">
        <x:f>C22*C25/(1+Assumptions!$B$49)^C26</x:f>
        <x:v>8731.6841313241</x:v>
      </x:c>
      <x:c r="D27" s="14" t="n">
        <x:f>D22*D25/(1+Assumptions!$B$49)^D26</x:f>
        <x:v>10257.497893336204</x:v>
      </x:c>
      <x:c r="E27" s="14" t="n">
        <x:f>E22*E25/(1+Assumptions!$B$49)^E26</x:f>
        <x:v>11522.027529545494</x:v>
      </x:c>
      <x:c r="F27" s="14" t="n">
        <x:f>F22*F25/(1+Assumptions!$B$49)^F26</x:f>
        <x:v>12640.851283113787</x:v>
      </x:c>
    </x:row>
    <x:row r="29">
      <x:c r="A29" t="str">
        <x:v>Caution: full-year 2026 cash flow is multiplied by the unelapsed Q4 fraction; simplistic partial-year convention.</x:v>
      </x:c>
    </x:row>
    <x:row r="30">
      <x:c r="A30" t="str">
        <x:v>Normalized unlevered FCF ≠ company-reported FCF: excludes financing, isolates EBIT after tax, does not add back SBC.</x:v>
      </x:c>
    </x:row>
    <x:row r="31">
      <x:c r="A31" t="str">
        <x:v>No Delivery Hero consolidation is assumed; the deal is treated as a separate uncertain valuation overlay.</x:v>
      </x:c>
    </x:row>
  </x:sheetData>
  <x:mergeCells>
    <x:mergeCell ref="A1:J2"/>
    <x:mergeCell ref="A5:F5"/>
    <x:mergeCell ref="A24:F2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9" hidden="0" customWidth="1"/>
    <x:col min="2" max="2" width="92" hidden="0" customWidth="1"/>
    <x:col min="3" max="3" width="21" hidden="0" customWidth="1"/>
    <x:col min="4" max="4" width="21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 ht="23" customHeight="1">
      <x:c r="A1" s="4" t="str">
        <x:v>UBER | DCF &amp; CASES</x:v>
      </x:c>
      <x:c r="B1" s="4"/>
      <x:c r="C1" s="4"/>
      <x:c r="D1" s="4"/>
      <x:c r="E1" s="4"/>
      <x:c r="F1" s="4"/>
      <x:c r="G1" s="4"/>
      <x:c r="H1" s="4"/>
    </x:row>
    <x:row r="2" ht="23" customHeight="1">
      <x:c r="A2" s="4"/>
      <x:c r="B2" s="4"/>
      <x:c r="C2" s="4"/>
      <x:c r="D2" s="4"/>
      <x:c r="E2" s="4"/>
      <x:c r="F2" s="4"/>
      <x:c r="G2" s="4"/>
      <x:c r="H2" s="4"/>
    </x:row>
    <x:row r="4">
      <x:c r="A4" s="9" t="str">
        <x:v>Valuation bridge ($mm unless per share)</x:v>
      </x:c>
      <x:c r="B4" s="9" t="str">
        <x:v>Bear</x:v>
      </x:c>
      <x:c r="C4" s="9" t="str">
        <x:v>Base</x:v>
      </x:c>
      <x:c r="D4" s="9" t="str">
        <x:v>Bull</x:v>
      </x:c>
    </x:row>
    <x:row r="5">
      <x:c r="A5" t="str">
        <x:v>Scenario discount rate (WACC)</x:v>
      </x:c>
      <x:c r="B5" s="12" t="n">
        <x:f>Assumptions!B39</x:f>
        <x:v>0.11</x:v>
      </x:c>
      <x:c r="C5" s="12" t="n">
        <x:f>Assumptions!B29</x:f>
        <x:v>0.1</x:v>
      </x:c>
      <x:c r="D5" s="12" t="n">
        <x:f>Assumptions!B49</x:f>
        <x:v>0.09</x:v>
      </x:c>
    </x:row>
    <x:row r="6">
      <x:c r="A6" t="str">
        <x:v>Perpetual growth rate</x:v>
      </x:c>
      <x:c r="B6" s="12" t="n">
        <x:f>Assumptions!B40</x:f>
        <x:v>0.025</x:v>
      </x:c>
      <x:c r="C6" s="12" t="n">
        <x:f>Assumptions!B30</x:f>
        <x:v>0.0275</x:v>
      </x:c>
      <x:c r="D6" s="12" t="n">
        <x:f>Assumptions!B50</x:f>
        <x:v>0.03</x:v>
      </x:c>
    </x:row>
    <x:row r="7">
      <x:c r="A7" t="str">
        <x:v>PV: explicit UFCF</x:v>
      </x:c>
      <x:c r="B7" s="14" t="n">
        <x:f>SUM('Forecast Bear'!B27:F27)</x:f>
        <x:v>22948.80551263712</x:v>
      </x:c>
      <x:c r="C7" s="14" t="n">
        <x:f>SUM('Forecast Base'!B27:F27)</x:f>
        <x:v>33474.951021297464</x:v>
      </x:c>
      <x:c r="D7" s="14" t="n">
        <x:f>SUM('Forecast Bull'!B27:F27)</x:f>
        <x:v>44950.95639350292</x:v>
      </x:c>
    </x:row>
    <x:row r="8">
      <x:c r="A8" t="str">
        <x:v>PV: terminal value</x:v>
      </x:c>
      <x:c r="B8" s="14" t="n">
        <x:f>'Forecast Bear'!F22*(1+B6)/(B5-B6)/(1+B5)^'Forecast Bear'!F26</x:f>
        <x:v>65084.69212299459</x:v>
      </x:c>
      <x:c r="C8" s="14" t="n">
        <x:f>'Forecast Base'!F22*(1+C6)/(C5-C6)/(1+C5)^'Forecast Base'!F26</x:f>
        <x:v>122370.77089569518</x:v>
      </x:c>
      <x:c r="D8" s="14" t="n">
        <x:f>'Forecast Bull'!F22*(1+D6)/(D5-D6)/(1+D5)^'Forecast Bull'!F26</x:f>
        <x:v>217001.28036012003</x:v>
      </x:c>
    </x:row>
    <x:row r="9">
      <x:c r="A9" t="str">
        <x:v>Enterprise value (standalone)</x:v>
      </x:c>
      <x:c r="B9" s="14" t="n">
        <x:f>SUM(B7:B8)</x:f>
        <x:v>88033.4976356317</x:v>
      </x:c>
      <x:c r="C9" s="14" t="n">
        <x:f>SUM(C7:C8)</x:f>
        <x:v>155845.72191699265</x:v>
      </x:c>
      <x:c r="D9" s="14" t="n">
        <x:f>SUM(D7:D8)</x:f>
        <x:v>261952.23675362294</x:v>
      </x:c>
    </x:row>
    <x:row r="10">
      <x:c r="A10" t="str">
        <x:v>Less: balance-sheet gross debt</x:v>
      </x:c>
      <x:c r="B10" s="14" t="n">
        <x:f>-Assumptions!$B$13</x:f>
        <x:v>-12723</x:v>
      </x:c>
      <x:c r="C10" s="14" t="n">
        <x:f>-Assumptions!$B$13</x:f>
        <x:v>-12723</x:v>
      </x:c>
      <x:c r="D10" s="14" t="n">
        <x:f>-Assumptions!$B$13</x:f>
        <x:v>-12723</x:v>
      </x:c>
    </x:row>
    <x:row r="11">
      <x:c r="A11" t="str">
        <x:v>Add: unrestricted cash + ST investments</x:v>
      </x:c>
      <x:c r="B11" s="14" t="n">
        <x:f>SUM(Assumptions!$B$9:$B$10)</x:f>
        <x:v>5391</x:v>
      </x:c>
      <x:c r="C11" s="14" t="n">
        <x:f>SUM(Assumptions!$B$9:$B$10)</x:f>
        <x:v>5391</x:v>
      </x:c>
      <x:c r="D11" s="14" t="n">
        <x:f>SUM(Assumptions!$B$9:$B$10)</x:f>
        <x:v>5391</x:v>
      </x:c>
    </x:row>
    <x:row r="12">
      <x:c r="A12" t="str">
        <x:v>Add: financial equity investments*</x:v>
      </x:c>
      <x:c r="B12" s="14" t="n">
        <x:f>SUM(Assumptions!$B$11:$B$12)</x:f>
        <x:v>12532</x:v>
      </x:c>
      <x:c r="C12" s="14" t="n">
        <x:f>SUM(Assumptions!$B$11:$B$12)</x:f>
        <x:v>12532</x:v>
      </x:c>
      <x:c r="D12" s="14" t="n">
        <x:f>SUM(Assumptions!$B$11:$B$12)</x:f>
        <x:v>12532</x:v>
      </x:c>
    </x:row>
    <x:row r="13">
      <x:c r="A13" t="str">
        <x:v>M&amp;A net-value overlay (hypothetical)</x:v>
      </x:c>
      <x:c r="B13" s="14" t="n">
        <x:f>Assumptions!B41</x:f>
        <x:v>-5000</x:v>
      </x:c>
      <x:c r="C13" s="14" t="n">
        <x:f>Assumptions!B31</x:f>
        <x:v>0</x:v>
      </x:c>
      <x:c r="D13" s="14" t="n">
        <x:f>Assumptions!B51</x:f>
        <x:v>5000</x:v>
      </x:c>
    </x:row>
    <x:row r="14">
      <x:c r="A14" t="str">
        <x:v>Equity value</x:v>
      </x:c>
      <x:c r="B14" s="14" t="n">
        <x:f>SUM(B9:B13)</x:f>
        <x:v>88233.4976356317</x:v>
      </x:c>
      <x:c r="C14" s="14" t="n">
        <x:f>SUM(C9:C13)</x:f>
        <x:v>161045.72191699265</x:v>
      </x:c>
      <x:c r="D14" s="14" t="n">
        <x:f>SUM(D9:D13)</x:f>
        <x:v>272152.23675362294</x:v>
      </x:c>
    </x:row>
    <x:row r="15">
      <x:c r="A15" t="str">
        <x:v>Diluted shares (mm), incl. cushion</x:v>
      </x:c>
      <x:c r="B15" s="14" t="n">
        <x:f>Assumptions!$B$7*(1+Assumptions!$B$8)</x:f>
        <x:v>2090.99385</x:v>
      </x:c>
      <x:c r="C15" s="14" t="n">
        <x:f>Assumptions!$B$7*(1+Assumptions!$B$8)</x:f>
        <x:v>2090.99385</x:v>
      </x:c>
      <x:c r="D15" s="14" t="n">
        <x:f>Assumptions!$B$7*(1+Assumptions!$B$8)</x:f>
        <x:v>2090.99385</x:v>
      </x:c>
    </x:row>
    <x:row r="16" ht="27" customHeight="1">
      <x:c r="A16" t="str">
        <x:v>Implied value per share ($)</x:v>
      </x:c>
      <x:c r="B16" s="51" t="n">
        <x:f>B14/B15</x:f>
        <x:v>42.19691876933627</x:v>
      </x:c>
      <x:c r="C16" s="51" t="n">
        <x:f>C14/C15</x:f>
        <x:v>77.01874489826581</x:v>
      </x:c>
      <x:c r="D16" s="51" t="n">
        <x:f>D14/D15</x:f>
        <x:v>130.15448933703126</x:v>
      </x:c>
    </x:row>
    <x:row r="17">
      <x:c r="A17" t="str">
        <x:v>UBER reference close ($)</x:v>
      </x:c>
      <x:c r="B17" s="48" t="n">
        <x:f>Assumptions!$B$5</x:f>
        <x:v>67.62</x:v>
      </x:c>
      <x:c r="C17" s="48" t="n">
        <x:f>Assumptions!$B$5</x:f>
        <x:v>67.62</x:v>
      </x:c>
      <x:c r="D17" s="48" t="n">
        <x:f>Assumptions!$B$5</x:f>
        <x:v>67.62</x:v>
      </x:c>
    </x:row>
    <x:row r="18">
      <x:c r="A18" t="str">
        <x:v>Upside / (downside)</x:v>
      </x:c>
      <x:c r="B18" s="12" t="n">
        <x:f>B16/B17-1</x:f>
        <x:v>-0.3759698496105255</x:v>
      </x:c>
      <x:c r="C18" s="12" t="n">
        <x:f>C16/C17-1</x:f>
        <x:v>0.13899356548751562</x:v>
      </x:c>
      <x:c r="D18" s="12" t="n">
        <x:f>D16/D17-1</x:f>
        <x:v>0.9247928029729555</x:v>
      </x:c>
    </x:row>
    <x:row r="19">
      <x:c r="A19" t="str">
        <x:v>Price offering 25% margin of safety ($)</x:v>
      </x:c>
      <x:c r="B19" s="48" t="n">
        <x:f>B16*0.75</x:f>
        <x:v>31.647689077002205</x:v>
      </x:c>
      <x:c r="C19" s="48" t="n">
        <x:f>C16*0.75</x:f>
        <x:v>57.76405867369935</x:v>
      </x:c>
      <x:c r="D19" s="48" t="n">
        <x:f>D16*0.75</x:f>
        <x:v>97.61586700277346</x:v>
      </x:c>
    </x:row>
    <x:row r="21" ht="35" customHeight="1">
      <x:c r="A21" s="26" t="str">
        <x:v>*Financial investments are separately added at Q2 2026 carrying value. Delivery Hero equity-method stake may be rolled/remeasured on acquisition.</x:v>
      </x:c>
      <x:c r="B21" s="26"/>
      <x:c r="C21" s="26"/>
      <x:c r="D21" s="26"/>
    </x:row>
    <x:row r="22" ht="35" customHeight="1">
      <x:c r="A22" s="26" t="str">
        <x:v>The proposed Delivery Hero offer is NOT in the standalone UFCF forecast. Case overlays (-$5B/0/+$5B) are illustrative un-underwritten net NPVs.</x:v>
      </x:c>
      <x:c r="B22" s="26"/>
      <x:c r="C22" s="26"/>
      <x:c r="D22" s="26"/>
    </x:row>
    <x:row r="23" ht="35" customHeight="1">
      <x:c r="A23" s="26" t="str">
        <x:v>Implied values and ranking are extremely sensitive to WACC / terminal growth and unrealized equity investment carrying values.</x:v>
      </x:c>
      <x:c r="B23" s="26"/>
      <x:c r="C23" s="26"/>
      <x:c r="D23" s="26"/>
    </x:row>
    <x:row r="24" ht="35" customHeight="1">
      <x:c r="A24" s="26" t="str">
        <x:v>The 2.5% diluted-share cushion and Q4 cash flow fraction are analyst approximations, not latest fully diluted share guidance.</x:v>
      </x:c>
      <x:c r="B24" s="26"/>
      <x:c r="C24" s="26"/>
      <x:c r="D24" s="26"/>
    </x:row>
    <x:row r="27" ht="23" customHeight="1">
      <x:c r="A27" s="23" t="str">
        <x:v>UPSIDE DEPENDENCE &amp; THESIS VALIDATION</x:v>
      </x:c>
      <x:c r="B27" s="23"/>
      <x:c r="C27" s="23"/>
      <x:c r="D27" s="23"/>
    </x:row>
    <x:row r="29" ht="32" customHeight="1">
      <x:c r="A29" t="str">
        <x:v>Core dislocation</x:v>
      </x:c>
      <x:c r="B29" s="26" t="str">
        <x:v>Market may be discounting asset-intensity from AV investment and €-denominated acquisition funding.</x:v>
      </x:c>
    </x:row>
    <x:row r="30" ht="32" customHeight="1">
      <x:c r="A30" t="str">
        <x:v>What validates bull case</x:v>
      </x:c>
      <x:c r="B30" s="26" t="str">
        <x:v>Bookings &gt;~20%, scalable GAAP operating margin, AV platform monetization without major capex.</x:v>
      </x:c>
    </x:row>
    <x:row r="31" ht="32" customHeight="1">
      <x:c r="A31" t="str">
        <x:v>What validates bear case</x:v>
      </x:c>
      <x:c r="B31" s="26" t="str">
        <x:v>Slower bookings, elevated driver incentives/insurance, AV bypass, Delivery Hero integration costs.</x:v>
      </x:c>
    </x:row>
    <x:row r="32" ht="32" customHeight="1">
      <x:c r="A32" t="str">
        <x:v>Next Q3 catalyst</x:v>
      </x:c>
      <x:c r="B32" s="26" t="str">
        <x:v>November 4, 2026 reported Q3 results vs $58.25–$60.25B bookings guidance.</x:v>
      </x:c>
    </x:row>
    <x:row r="33" ht="32" customHeight="1">
      <x:c r="A33" t="str">
        <x:v>Do not imply company guidance</x:v>
      </x:c>
      <x:c r="B33" s="26" t="str">
        <x:v>All scenario forecasts and fair values are analyst work.</x:v>
      </x:c>
    </x:row>
  </x:sheetData>
  <x:mergeCells>
    <x:mergeCell ref="A1:H2"/>
    <x:mergeCell ref="A27:D27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7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 ht="23" customHeight="1">
      <x:c r="A1" s="4" t="str">
        <x:v>UBER | SENSITIVITY</x:v>
      </x:c>
      <x:c r="B1" s="4"/>
      <x:c r="C1" s="4"/>
      <x:c r="D1" s="4"/>
      <x:c r="E1" s="4"/>
      <x:c r="F1" s="4"/>
      <x:c r="G1" s="4"/>
      <x:c r="H1" s="4"/>
    </x:row>
    <x:row r="2" ht="23" customHeight="1">
      <x:c r="A2" s="4"/>
      <x:c r="B2" s="4"/>
      <x:c r="C2" s="4"/>
      <x:c r="D2" s="4"/>
      <x:c r="E2" s="4"/>
      <x:c r="F2" s="4"/>
      <x:c r="G2" s="4"/>
      <x:c r="H2" s="4"/>
    </x:row>
    <x:row r="4">
      <x:c r="A4" t="str">
        <x:v>BASE CASE: IMPLIED SHARE PRICE ($) BY WACC × TERMINAL GROWTH</x:v>
      </x:c>
    </x:row>
    <x:row r="6">
      <x:c r="A6" s="9" t="str">
        <x:v>WACC ↓ / g →</x:v>
      </x:c>
      <x:c r="B6" s="59" t="n">
        <x:v>0.015</x:v>
      </x:c>
      <x:c r="C6" s="59" t="n">
        <x:v>0.02</x:v>
      </x:c>
      <x:c r="D6" s="59" t="n">
        <x:v>0.025</x:v>
      </x:c>
      <x:c r="E6" s="59" t="n">
        <x:v>0.0275</x:v>
      </x:c>
      <x:c r="F6" s="59" t="n">
        <x:v>0.03</x:v>
      </x:c>
      <x:c r="G6" s="59" t="n">
        <x:v>0.035</x:v>
      </x:c>
      <x:c r="H6" s="59" t="n">
        <x:v>0.04</x:v>
      </x:c>
    </x:row>
    <x:row r="7">
      <x:c r="A7" s="17" t="n">
        <x:v>0.085</x:v>
      </x:c>
      <x:c r="B7" s="48" t="n">
        <x:f>('Forecast Base'!B22*'Forecast Base'!B25/(1+$A7)^'Forecast Base'!B26+'Forecast Base'!C22*'Forecast Base'!C25/(1+$A7)^'Forecast Base'!C26+'Forecast Base'!D22*'Forecast Base'!D25/(1+$A7)^'Forecast Base'!D26+'Forecast Base'!E22*'Forecast Base'!E25/(1+$A7)^'Forecast Base'!E26+'Forecast Base'!F22*'Forecast Base'!F25/(1+$A7)^'Forecast Base'!F26+'Forecast Base'!F22*(1+B$6)/($A7-B$6)/(1+$A7)^'Forecast Base'!F26+SUM(Assumptions!$B$9:$B$12)-Assumptions!$B$13+Assumptions!$B$31)/('DCF &amp; Cases'!$C$15)</x:f>
        <x:v>82.5787665781135</x:v>
      </x:c>
      <x:c r="C7" s="48" t="n">
        <x:f>('Forecast Base'!B22*'Forecast Base'!B25/(1+$A7)^'Forecast Base'!B26+'Forecast Base'!C22*'Forecast Base'!C25/(1+$A7)^'Forecast Base'!C26+'Forecast Base'!D22*'Forecast Base'!D25/(1+$A7)^'Forecast Base'!D26+'Forecast Base'!E22*'Forecast Base'!E25/(1+$A7)^'Forecast Base'!E26+'Forecast Base'!F22*'Forecast Base'!F25/(1+$A7)^'Forecast Base'!F26+'Forecast Base'!F22*(1+C$6)/($A7-C$6)/(1+$A7)^'Forecast Base'!F26+SUM(Assumptions!$B$9:$B$12)-Assumptions!$B$13+Assumptions!$B$31)/('DCF &amp; Cases'!$C$15)</x:f>
        <x:v>87.79806329278692</x:v>
      </x:c>
      <x:c r="D7" s="48" t="n">
        <x:f>('Forecast Base'!B22*'Forecast Base'!B25/(1+$A7)^'Forecast Base'!B26+'Forecast Base'!C22*'Forecast Base'!C25/(1+$A7)^'Forecast Base'!C26+'Forecast Base'!D22*'Forecast Base'!D25/(1+$A7)^'Forecast Base'!D26+'Forecast Base'!E22*'Forecast Base'!E25/(1+$A7)^'Forecast Base'!E26+'Forecast Base'!F22*'Forecast Base'!F25/(1+$A7)^'Forecast Base'!F26+'Forecast Base'!F22*(1+D$6)/($A7-D$6)/(1+$A7)^'Forecast Base'!F26+SUM(Assumptions!$B$9:$B$12)-Assumptions!$B$13+Assumptions!$B$31)/('DCF &amp; Cases'!$C$15)</x:f>
        <x:v>93.8872427932392</x:v>
      </x:c>
      <x:c r="E7" s="48" t="n">
        <x:f>('Forecast Base'!B22*'Forecast Base'!B25/(1+$A7)^'Forecast Base'!B26+'Forecast Base'!C22*'Forecast Base'!C25/(1+$A7)^'Forecast Base'!C26+'Forecast Base'!D22*'Forecast Base'!D25/(1+$A7)^'Forecast Base'!D26+'Forecast Base'!E22*'Forecast Base'!E25/(1+$A7)^'Forecast Base'!E26+'Forecast Base'!F22*'Forecast Base'!F25/(1+$A7)^'Forecast Base'!F26+'Forecast Base'!F22*(1+E$6)/($A7-E$6)/(1+$A7)^'Forecast Base'!F26+SUM(Assumptions!$B$9:$B$12)-Assumptions!$B$13+Assumptions!$B$31)/('DCF &amp; Cases'!$C$15)</x:f>
        <x:v>97.32895294566876</x:v>
      </x:c>
      <x:c r="F7" s="48" t="n">
        <x:f>('Forecast Base'!B22*'Forecast Base'!B25/(1+$A7)^'Forecast Base'!B26+'Forecast Base'!C22*'Forecast Base'!C25/(1+$A7)^'Forecast Base'!C26+'Forecast Base'!D22*'Forecast Base'!D25/(1+$A7)^'Forecast Base'!D26+'Forecast Base'!E22*'Forecast Base'!E25/(1+$A7)^'Forecast Base'!E26+'Forecast Base'!F22*'Forecast Base'!F25/(1+$A7)^'Forecast Base'!F26+'Forecast Base'!F22*(1+F$6)/($A7-F$6)/(1+$A7)^'Forecast Base'!F26+SUM(Assumptions!$B$9:$B$12)-Assumptions!$B$13+Assumptions!$B$31)/('DCF &amp; Cases'!$C$15)</x:f>
        <x:v>101.08354583922828</x:v>
      </x:c>
      <x:c r="G7" s="48" t="n">
        <x:f>('Forecast Base'!B22*'Forecast Base'!B25/(1+$A7)^'Forecast Base'!B26+'Forecast Base'!C22*'Forecast Base'!C25/(1+$A7)^'Forecast Base'!C26+'Forecast Base'!D22*'Forecast Base'!D25/(1+$A7)^'Forecast Base'!D26+'Forecast Base'!E22*'Forecast Base'!E25/(1+$A7)^'Forecast Base'!E26+'Forecast Base'!F22*'Forecast Base'!F25/(1+$A7)^'Forecast Base'!F26+'Forecast Base'!F22*(1+G$6)/($A7-G$6)/(1+$A7)^'Forecast Base'!F26+SUM(Assumptions!$B$9:$B$12)-Assumptions!$B$13+Assumptions!$B$31)/('DCF &amp; Cases'!$C$15)</x:f>
        <x:v>109.71910949441518</x:v>
      </x:c>
      <x:c r="H7" s="48" t="n">
        <x:f>('Forecast Base'!B22*'Forecast Base'!B25/(1+$A7)^'Forecast Base'!B26+'Forecast Base'!C22*'Forecast Base'!C25/(1+$A7)^'Forecast Base'!C26+'Forecast Base'!D22*'Forecast Base'!D25/(1+$A7)^'Forecast Base'!D26+'Forecast Base'!E22*'Forecast Base'!E25/(1+$A7)^'Forecast Base'!E26+'Forecast Base'!F22*'Forecast Base'!F25/(1+$A7)^'Forecast Base'!F26+'Forecast Base'!F22*(1+H$6)/($A7-H$6)/(1+$A7)^'Forecast Base'!F26+SUM(Assumptions!$B$9:$B$12)-Assumptions!$B$13+Assumptions!$B$31)/('DCF &amp; Cases'!$C$15)</x:f>
        <x:v>120.27368729519918</x:v>
      </x:c>
    </x:row>
    <x:row r="8">
      <x:c r="A8" s="17" t="n">
        <x:v>0.09</x:v>
      </x:c>
      <x:c r="B8" s="48" t="n">
        <x:f>('Forecast Base'!B22*'Forecast Base'!B25/(1+$A8)^'Forecast Base'!B26+'Forecast Base'!C22*'Forecast Base'!C25/(1+$A8)^'Forecast Base'!C26+'Forecast Base'!D22*'Forecast Base'!D25/(1+$A8)^'Forecast Base'!D26+'Forecast Base'!E22*'Forecast Base'!E25/(1+$A8)^'Forecast Base'!E26+'Forecast Base'!F22*'Forecast Base'!F25/(1+$A8)^'Forecast Base'!F26+'Forecast Base'!F22*(1+B$6)/($A8-B$6)/(1+$A8)^'Forecast Base'!F26+SUM(Assumptions!$B$9:$B$12)-Assumptions!$B$13+Assumptions!$B$31)/('DCF &amp; Cases'!$C$15)</x:f>
        <x:v>76.99372757097719</x:v>
      </x:c>
      <x:c r="C8" s="48" t="n">
        <x:f>('Forecast Base'!B22*'Forecast Base'!B25/(1+$A8)^'Forecast Base'!B26+'Forecast Base'!C22*'Forecast Base'!C25/(1+$A8)^'Forecast Base'!C26+'Forecast Base'!D22*'Forecast Base'!D25/(1+$A8)^'Forecast Base'!D26+'Forecast Base'!E22*'Forecast Base'!E25/(1+$A8)^'Forecast Base'!E26+'Forecast Base'!F22*'Forecast Base'!F25/(1+$A8)^'Forecast Base'!F26+'Forecast Base'!F22*(1+C$6)/($A8-C$6)/(1+$A8)^'Forecast Base'!F26+SUM(Assumptions!$B$9:$B$12)-Assumptions!$B$13+Assumptions!$B$31)/('DCF &amp; Cases'!$C$15)</x:f>
        <x:v>81.45002953092708</x:v>
      </x:c>
      <x:c r="D8" s="48" t="n">
        <x:f>('Forecast Base'!B22*'Forecast Base'!B25/(1+$A8)^'Forecast Base'!B26+'Forecast Base'!C22*'Forecast Base'!C25/(1+$A8)^'Forecast Base'!C26+'Forecast Base'!D22*'Forecast Base'!D25/(1+$A8)^'Forecast Base'!D26+'Forecast Base'!E22*'Forecast Base'!E25/(1+$A8)^'Forecast Base'!E26+'Forecast Base'!F22*'Forecast Base'!F25/(1+$A8)^'Forecast Base'!F26+'Forecast Base'!F22*(1+D$6)/($A8-D$6)/(1+$A8)^'Forecast Base'!F26+SUM(Assumptions!$B$9:$B$12)-Assumptions!$B$13+Assumptions!$B$31)/('DCF &amp; Cases'!$C$15)</x:f>
        <x:v>86.5919164077923</x:v>
      </x:c>
      <x:c r="E8" s="48" t="n">
        <x:f>('Forecast Base'!B22*'Forecast Base'!B25/(1+$A8)^'Forecast Base'!B26+'Forecast Base'!C22*'Forecast Base'!C25/(1+$A8)^'Forecast Base'!C26+'Forecast Base'!D22*'Forecast Base'!D25/(1+$A8)^'Forecast Base'!D26+'Forecast Base'!E22*'Forecast Base'!E25/(1+$A8)^'Forecast Base'!E26+'Forecast Base'!F22*'Forecast Base'!F25/(1+$A8)^'Forecast Base'!F26+'Forecast Base'!F22*(1+E$6)/($A8-E$6)/(1+$A8)^'Forecast Base'!F26+SUM(Assumptions!$B$9:$B$12)-Assumptions!$B$13+Assumptions!$B$31)/('DCF &amp; Cases'!$C$15)</x:f>
        <x:v>89.47137305883683</x:v>
      </x:c>
      <x:c r="F8" s="48" t="n">
        <x:f>('Forecast Base'!B22*'Forecast Base'!B25/(1+$A8)^'Forecast Base'!B26+'Forecast Base'!C22*'Forecast Base'!C25/(1+$A8)^'Forecast Base'!C26+'Forecast Base'!D22*'Forecast Base'!D25/(1+$A8)^'Forecast Base'!D26+'Forecast Base'!E22*'Forecast Base'!E25/(1+$A8)^'Forecast Base'!E26+'Forecast Base'!F22*'Forecast Base'!F25/(1+$A8)^'Forecast Base'!F26+'Forecast Base'!F22*(1+F$6)/($A8-F$6)/(1+$A8)^'Forecast Base'!F26+SUM(Assumptions!$B$9:$B$12)-Assumptions!$B$13+Assumptions!$B$31)/('DCF &amp; Cases'!$C$15)</x:f>
        <x:v>92.59078443080173</x:v>
      </x:c>
      <x:c r="G8" s="48" t="n">
        <x:f>('Forecast Base'!B22*'Forecast Base'!B25/(1+$A8)^'Forecast Base'!B26+'Forecast Base'!C22*'Forecast Base'!C25/(1+$A8)^'Forecast Base'!C26+'Forecast Base'!D22*'Forecast Base'!D25/(1+$A8)^'Forecast Base'!D26+'Forecast Base'!E22*'Forecast Base'!E25/(1+$A8)^'Forecast Base'!E26+'Forecast Base'!F22*'Forecast Base'!F25/(1+$A8)^'Forecast Base'!F26+'Forecast Base'!F22*(1+G$6)/($A8-G$6)/(1+$A8)^'Forecast Base'!F26+SUM(Assumptions!$B$9:$B$12)-Assumptions!$B$13+Assumptions!$B$31)/('DCF &amp; Cases'!$C$15)</x:f>
        <x:v>99.68035573072198</x:v>
      </x:c>
      <x:c r="H8" s="48" t="n">
        <x:f>('Forecast Base'!B22*'Forecast Base'!B25/(1+$A8)^'Forecast Base'!B26+'Forecast Base'!C22*'Forecast Base'!C25/(1+$A8)^'Forecast Base'!C26+'Forecast Base'!D22*'Forecast Base'!D25/(1+$A8)^'Forecast Base'!D26+'Forecast Base'!E22*'Forecast Base'!E25/(1+$A8)^'Forecast Base'!E26+'Forecast Base'!F22*'Forecast Base'!F25/(1+$A8)^'Forecast Base'!F26+'Forecast Base'!F22*(1+H$6)/($A8-H$6)/(1+$A8)^'Forecast Base'!F26+SUM(Assumptions!$B$9:$B$12)-Assumptions!$B$13+Assumptions!$B$31)/('DCF &amp; Cases'!$C$15)</x:f>
        <x:v>108.1878412906263</x:v>
      </x:c>
    </x:row>
    <x:row r="9">
      <x:c r="A9" s="17" t="n">
        <x:v>0.095</x:v>
      </x:c>
      <x:c r="B9" s="48" t="n">
        <x:f>('Forecast Base'!B22*'Forecast Base'!B25/(1+$A9)^'Forecast Base'!B26+'Forecast Base'!C22*'Forecast Base'!C25/(1+$A9)^'Forecast Base'!C26+'Forecast Base'!D22*'Forecast Base'!D25/(1+$A9)^'Forecast Base'!D26+'Forecast Base'!E22*'Forecast Base'!E25/(1+$A9)^'Forecast Base'!E26+'Forecast Base'!F22*'Forecast Base'!F25/(1+$A9)^'Forecast Base'!F26+'Forecast Base'!F22*(1+B$6)/($A9-B$6)/(1+$A9)^'Forecast Base'!F26+SUM(Assumptions!$B$9:$B$12)-Assumptions!$B$13+Assumptions!$B$31)/('DCF &amp; Cases'!$C$15)</x:f>
        <x:v>72.11051180583924</x:v>
      </x:c>
      <x:c r="C9" s="48" t="n">
        <x:f>('Forecast Base'!B22*'Forecast Base'!B25/(1+$A9)^'Forecast Base'!B26+'Forecast Base'!C22*'Forecast Base'!C25/(1+$A9)^'Forecast Base'!C26+'Forecast Base'!D22*'Forecast Base'!D25/(1+$A9)^'Forecast Base'!D26+'Forecast Base'!E22*'Forecast Base'!E25/(1+$A9)^'Forecast Base'!E26+'Forecast Base'!F22*'Forecast Base'!F25/(1+$A9)^'Forecast Base'!F26+'Forecast Base'!F22*(1+C$6)/($A9-C$6)/(1+$A9)^'Forecast Base'!F26+SUM(Assumptions!$B$9:$B$12)-Assumptions!$B$13+Assumptions!$B$31)/('DCF &amp; Cases'!$C$15)</x:f>
        <x:v>75.95220691804413</x:v>
      </x:c>
      <x:c r="D9" s="48" t="n">
        <x:f>('Forecast Base'!B22*'Forecast Base'!B25/(1+$A9)^'Forecast Base'!B26+'Forecast Base'!C22*'Forecast Base'!C25/(1+$A9)^'Forecast Base'!C26+'Forecast Base'!D22*'Forecast Base'!D25/(1+$A9)^'Forecast Base'!D26+'Forecast Base'!E22*'Forecast Base'!E25/(1+$A9)^'Forecast Base'!E26+'Forecast Base'!F22*'Forecast Base'!F25/(1+$A9)^'Forecast Base'!F26+'Forecast Base'!F22*(1+D$6)/($A9-D$6)/(1+$A9)^'Forecast Base'!F26+SUM(Assumptions!$B$9:$B$12)-Assumptions!$B$13+Assumptions!$B$31)/('DCF &amp; Cases'!$C$15)</x:f>
        <x:v>80.34271561770683</x:v>
      </x:c>
      <x:c r="E9" s="48" t="n">
        <x:f>('Forecast Base'!B22*'Forecast Base'!B25/(1+$A9)^'Forecast Base'!B26+'Forecast Base'!C22*'Forecast Base'!C25/(1+$A9)^'Forecast Base'!C26+'Forecast Base'!D22*'Forecast Base'!D25/(1+$A9)^'Forecast Base'!D26+'Forecast Base'!E22*'Forecast Base'!E25/(1+$A9)^'Forecast Base'!E26+'Forecast Base'!F22*'Forecast Base'!F25/(1+$A9)^'Forecast Base'!F26+'Forecast Base'!F22*(1+E$6)/($A9-E$6)/(1+$A9)^'Forecast Base'!F26+SUM(Assumptions!$B$9:$B$12)-Assumptions!$B$13+Assumptions!$B$31)/('DCF &amp; Cases'!$C$15)</x:f>
        <x:v>82.78188711751945</x:v>
      </x:c>
      <x:c r="F9" s="48" t="n">
        <x:f>('Forecast Base'!B22*'Forecast Base'!B25/(1+$A9)^'Forecast Base'!B26+'Forecast Base'!C22*'Forecast Base'!C25/(1+$A9)^'Forecast Base'!C26+'Forecast Base'!D22*'Forecast Base'!D25/(1+$A9)^'Forecast Base'!D26+'Forecast Base'!E22*'Forecast Base'!E25/(1+$A9)^'Forecast Base'!E26+'Forecast Base'!F22*'Forecast Base'!F25/(1+$A9)^'Forecast Base'!F26+'Forecast Base'!F22*(1+F$6)/($A9-F$6)/(1+$A9)^'Forecast Base'!F26+SUM(Assumptions!$B$9:$B$12)-Assumptions!$B$13+Assumptions!$B$31)/('DCF &amp; Cases'!$C$15)</x:f>
        <x:v>85.40868719424073</x:v>
      </x:c>
      <x:c r="G9" s="48" t="n">
        <x:f>('Forecast Base'!B22*'Forecast Base'!B25/(1+$A9)^'Forecast Base'!B26+'Forecast Base'!C22*'Forecast Base'!C25/(1+$A9)^'Forecast Base'!C26+'Forecast Base'!D22*'Forecast Base'!D25/(1+$A9)^'Forecast Base'!D26+'Forecast Base'!E22*'Forecast Base'!E25/(1+$A9)^'Forecast Base'!E26+'Forecast Base'!F22*'Forecast Base'!F25/(1+$A9)^'Forecast Base'!F26+'Forecast Base'!F22*(1+G$6)/($A9-G$6)/(1+$A9)^'Forecast Base'!F26+SUM(Assumptions!$B$9:$B$12)-Assumptions!$B$13+Assumptions!$B$31)/('DCF &amp; Cases'!$C$15)</x:f>
        <x:v>91.31898736686361</x:v>
      </x:c>
      <x:c r="H9" s="48" t="n">
        <x:f>('Forecast Base'!B22*'Forecast Base'!B25/(1+$A9)^'Forecast Base'!B26+'Forecast Base'!C22*'Forecast Base'!C25/(1+$A9)^'Forecast Base'!C26+'Forecast Base'!D22*'Forecast Base'!D25/(1+$A9)^'Forecast Base'!D26+'Forecast Base'!E22*'Forecast Base'!E25/(1+$A9)^'Forecast Base'!E26+'Forecast Base'!F22*'Forecast Base'!F25/(1+$A9)^'Forecast Base'!F26+'Forecast Base'!F22*(1+H$6)/($A9-H$6)/(1+$A9)^'Forecast Base'!F26+SUM(Assumptions!$B$9:$B$12)-Assumptions!$B$13+Assumptions!$B$31)/('DCF &amp; Cases'!$C$15)</x:f>
        <x:v>98.30388757087246</x:v>
      </x:c>
    </x:row>
    <x:row r="10">
      <x:c r="A10" s="17" t="n">
        <x:v>0.1</x:v>
      </x:c>
      <x:c r="B10" s="48" t="n">
        <x:f>('Forecast Base'!B22*'Forecast Base'!B25/(1+$A10)^'Forecast Base'!B26+'Forecast Base'!C22*'Forecast Base'!C25/(1+$A10)^'Forecast Base'!C26+'Forecast Base'!D22*'Forecast Base'!D25/(1+$A10)^'Forecast Base'!D26+'Forecast Base'!E22*'Forecast Base'!E25/(1+$A10)^'Forecast Base'!E26+'Forecast Base'!F22*'Forecast Base'!F25/(1+$A10)^'Forecast Base'!F26+'Forecast Base'!F22*(1+B$6)/($A10-B$6)/(1+$A10)^'Forecast Base'!F26+SUM(Assumptions!$B$9:$B$12)-Assumptions!$B$13+Assumptions!$B$31)/('DCF &amp; Cases'!$C$15)</x:f>
        <x:v>67.80519733008855</x:v>
      </x:c>
      <x:c r="C10" s="48" t="n">
        <x:f>('Forecast Base'!B22*'Forecast Base'!B25/(1+$A10)^'Forecast Base'!B26+'Forecast Base'!C22*'Forecast Base'!C25/(1+$A10)^'Forecast Base'!C26+'Forecast Base'!D22*'Forecast Base'!D25/(1+$A10)^'Forecast Base'!D26+'Forecast Base'!E22*'Forecast Base'!E25/(1+$A10)^'Forecast Base'!E26+'Forecast Base'!F22*'Forecast Base'!F25/(1+$A10)^'Forecast Base'!F26+'Forecast Base'!F22*(1+C$6)/($A10-C$6)/(1+$A10)^'Forecast Base'!F26+SUM(Assumptions!$B$9:$B$12)-Assumptions!$B$13+Assumptions!$B$31)/('DCF &amp; Cases'!$C$15)</x:f>
        <x:v>71.1451083235528</x:v>
      </x:c>
      <x:c r="D10" s="48" t="n">
        <x:f>('Forecast Base'!B22*'Forecast Base'!B25/(1+$A10)^'Forecast Base'!B26+'Forecast Base'!C22*'Forecast Base'!C25/(1+$A10)^'Forecast Base'!C26+'Forecast Base'!D22*'Forecast Base'!D25/(1+$A10)^'Forecast Base'!D26+'Forecast Base'!E22*'Forecast Base'!E25/(1+$A10)^'Forecast Base'!E26+'Forecast Base'!F22*'Forecast Base'!F25/(1+$A10)^'Forecast Base'!F26+'Forecast Base'!F22*(1+D$6)/($A10-D$6)/(1+$A10)^'Forecast Base'!F26+SUM(Assumptions!$B$9:$B$12)-Assumptions!$B$13+Assumptions!$B$31)/('DCF &amp; Cases'!$C$15)</x:f>
        <x:v>74.93034078281228</x:v>
      </x:c>
      <x:c r="E10" s="48" t="n">
        <x:f>('Forecast Base'!B22*'Forecast Base'!B25/(1+$A10)^'Forecast Base'!B26+'Forecast Base'!C22*'Forecast Base'!C25/(1+$A10)^'Forecast Base'!C26+'Forecast Base'!D22*'Forecast Base'!D25/(1+$A10)^'Forecast Base'!D26+'Forecast Base'!E22*'Forecast Base'!E25/(1+$A10)^'Forecast Base'!E26+'Forecast Base'!F22*'Forecast Base'!F25/(1+$A10)^'Forecast Base'!F26+'Forecast Base'!F22*(1+E$6)/($A10-E$6)/(1+$A10)^'Forecast Base'!F26+SUM(Assumptions!$B$9:$B$12)-Assumptions!$B$13+Assumptions!$B$31)/('DCF &amp; Cases'!$C$15)</x:f>
        <x:v>77.01874489826581</x:v>
      </x:c>
      <x:c r="F10" s="48" t="n">
        <x:f>('Forecast Base'!B22*'Forecast Base'!B25/(1+$A10)^'Forecast Base'!B26+'Forecast Base'!C22*'Forecast Base'!C25/(1+$A10)^'Forecast Base'!C26+'Forecast Base'!D22*'Forecast Base'!D25/(1+$A10)^'Forecast Base'!D26+'Forecast Base'!E22*'Forecast Base'!E25/(1+$A10)^'Forecast Base'!E26+'Forecast Base'!F22*'Forecast Base'!F25/(1+$A10)^'Forecast Base'!F26+'Forecast Base'!F22*(1+F$6)/($A10-F$6)/(1+$A10)^'Forecast Base'!F26+SUM(Assumptions!$B$9:$B$12)-Assumptions!$B$13+Assumptions!$B$31)/('DCF &amp; Cases'!$C$15)</x:f>
        <x:v>79.25632073625168</x:v>
      </x:c>
      <x:c r="G10" s="48" t="n">
        <x:f>('Forecast Base'!B22*'Forecast Base'!B25/(1+$A10)^'Forecast Base'!B26+'Forecast Base'!C22*'Forecast Base'!C25/(1+$A10)^'Forecast Base'!C26+'Forecast Base'!D22*'Forecast Base'!D25/(1+$A10)^'Forecast Base'!D26+'Forecast Base'!E22*'Forecast Base'!E25/(1+$A10)^'Forecast Base'!E26+'Forecast Base'!F22*'Forecast Base'!F25/(1+$A10)^'Forecast Base'!F26+'Forecast Base'!F22*(1+G$6)/($A10-G$6)/(1+$A10)^'Forecast Base'!F26+SUM(Assumptions!$B$9:$B$12)-Assumptions!$B$13+Assumptions!$B$31)/('DCF &amp; Cases'!$C$15)</x:f>
        <x:v>84.2478360671433</x:v>
      </x:c>
      <x:c r="H10" s="48" t="n">
        <x:f>('Forecast Base'!B22*'Forecast Base'!B25/(1+$A10)^'Forecast Base'!B26+'Forecast Base'!C22*'Forecast Base'!C25/(1+$A10)^'Forecast Base'!C26+'Forecast Base'!D22*'Forecast Base'!D25/(1+$A10)^'Forecast Base'!D26+'Forecast Base'!E22*'Forecast Base'!E25/(1+$A10)^'Forecast Base'!E26+'Forecast Base'!F22*'Forecast Base'!F25/(1+$A10)^'Forecast Base'!F26+'Forecast Base'!F22*(1+H$6)/($A10-H$6)/(1+$A10)^'Forecast Base'!F26+SUM(Assumptions!$B$9:$B$12)-Assumptions!$B$13+Assumptions!$B$31)/('DCF &amp; Cases'!$C$15)</x:f>
        <x:v>90.0712706198502</x:v>
      </x:c>
    </x:row>
    <x:row r="11">
      <x:c r="A11" s="17" t="n">
        <x:v>0.105</x:v>
      </x:c>
      <x:c r="B11" s="48" t="n">
        <x:f>('Forecast Base'!B22*'Forecast Base'!B25/(1+$A11)^'Forecast Base'!B26+'Forecast Base'!C22*'Forecast Base'!C25/(1+$A11)^'Forecast Base'!C26+'Forecast Base'!D22*'Forecast Base'!D25/(1+$A11)^'Forecast Base'!D26+'Forecast Base'!E22*'Forecast Base'!E25/(1+$A11)^'Forecast Base'!E26+'Forecast Base'!F22*'Forecast Base'!F25/(1+$A11)^'Forecast Base'!F26+'Forecast Base'!F22*(1+B$6)/($A11-B$6)/(1+$A11)^'Forecast Base'!F26+SUM(Assumptions!$B$9:$B$12)-Assumptions!$B$13+Assumptions!$B$31)/('DCF &amp; Cases'!$C$15)</x:f>
        <x:v>63.98140210771907</x:v>
      </x:c>
      <x:c r="C11" s="48" t="n">
        <x:f>('Forecast Base'!B22*'Forecast Base'!B25/(1+$A11)^'Forecast Base'!B26+'Forecast Base'!C22*'Forecast Base'!C25/(1+$A11)^'Forecast Base'!C26+'Forecast Base'!D22*'Forecast Base'!D25/(1+$A11)^'Forecast Base'!D26+'Forecast Base'!E22*'Forecast Base'!E25/(1+$A11)^'Forecast Base'!E26+'Forecast Base'!F22*'Forecast Base'!F25/(1+$A11)^'Forecast Base'!F26+'Forecast Base'!F22*(1+C$6)/($A11-C$6)/(1+$A11)^'Forecast Base'!F26+SUM(Assumptions!$B$9:$B$12)-Assumptions!$B$13+Assumptions!$B$31)/('DCF &amp; Cases'!$C$15)</x:f>
        <x:v>66.90677473942938</x:v>
      </x:c>
      <x:c r="D11" s="48" t="n">
        <x:f>('Forecast Base'!B22*'Forecast Base'!B25/(1+$A11)^'Forecast Base'!B26+'Forecast Base'!C22*'Forecast Base'!C25/(1+$A11)^'Forecast Base'!C26+'Forecast Base'!D22*'Forecast Base'!D25/(1+$A11)^'Forecast Base'!D26+'Forecast Base'!E22*'Forecast Base'!E25/(1+$A11)^'Forecast Base'!E26+'Forecast Base'!F22*'Forecast Base'!F25/(1+$A11)^'Forecast Base'!F26+'Forecast Base'!F22*(1+D$6)/($A11-D$6)/(1+$A11)^'Forecast Base'!F26+SUM(Assumptions!$B$9:$B$12)-Assumptions!$B$13+Assumptions!$B$31)/('DCF &amp; Cases'!$C$15)</x:f>
        <x:v>70.19781895010348</x:v>
      </x:c>
      <x:c r="E11" s="48" t="n">
        <x:f>('Forecast Base'!B22*'Forecast Base'!B25/(1+$A11)^'Forecast Base'!B26+'Forecast Base'!C22*'Forecast Base'!C25/(1+$A11)^'Forecast Base'!C26+'Forecast Base'!D22*'Forecast Base'!D25/(1+$A11)^'Forecast Base'!D26+'Forecast Base'!E22*'Forecast Base'!E25/(1+$A11)^'Forecast Base'!E26+'Forecast Base'!F22*'Forecast Base'!F25/(1+$A11)^'Forecast Base'!F26+'Forecast Base'!F22*(1+E$6)/($A11-E$6)/(1+$A11)^'Forecast Base'!F26+SUM(Assumptions!$B$9:$B$12)-Assumptions!$B$13+Assumptions!$B$31)/('DCF &amp; Cases'!$C$15)</x:f>
        <x:v>72.00258513015058</x:v>
      </x:c>
      <x:c r="F11" s="48" t="n">
        <x:f>('Forecast Base'!B22*'Forecast Base'!B25/(1+$A11)^'Forecast Base'!B26+'Forecast Base'!C22*'Forecast Base'!C25/(1+$A11)^'Forecast Base'!C26+'Forecast Base'!D22*'Forecast Base'!D25/(1+$A11)^'Forecast Base'!D26+'Forecast Base'!E22*'Forecast Base'!E25/(1+$A11)^'Forecast Base'!E26+'Forecast Base'!F22*'Forecast Base'!F25/(1+$A11)^'Forecast Base'!F26+'Forecast Base'!F22*(1+F$6)/($A11-F$6)/(1+$A11)^'Forecast Base'!F26+SUM(Assumptions!$B$9:$B$12)-Assumptions!$B$13+Assumptions!$B$31)/('DCF &amp; Cases'!$C$15)</x:f>
        <x:v>73.92766905553412</x:v>
      </x:c>
      <x:c r="G11" s="48" t="n">
        <x:f>('Forecast Base'!B22*'Forecast Base'!B25/(1+$A11)^'Forecast Base'!B26+'Forecast Base'!C22*'Forecast Base'!C25/(1+$A11)^'Forecast Base'!C26+'Forecast Base'!D22*'Forecast Base'!D25/(1+$A11)^'Forecast Base'!D26+'Forecast Base'!E22*'Forecast Base'!E25/(1+$A11)^'Forecast Base'!E26+'Forecast Base'!F22*'Forecast Base'!F25/(1+$A11)^'Forecast Base'!F26+'Forecast Base'!F22*(1+G$6)/($A11-G$6)/(1+$A11)^'Forecast Base'!F26+SUM(Assumptions!$B$9:$B$12)-Assumptions!$B$13+Assumptions!$B$31)/('DCF &amp; Cases'!$C$15)</x:f>
        <x:v>78.190354890312</x:v>
      </x:c>
      <x:c r="H11" s="48" t="n">
        <x:f>('Forecast Base'!B22*'Forecast Base'!B25/(1+$A11)^'Forecast Base'!B26+'Forecast Base'!C22*'Forecast Base'!C25/(1+$A11)^'Forecast Base'!C26+'Forecast Base'!D22*'Forecast Base'!D25/(1+$A11)^'Forecast Base'!D26+'Forecast Base'!E22*'Forecast Base'!E25/(1+$A11)^'Forecast Base'!E26+'Forecast Base'!F22*'Forecast Base'!F25/(1+$A11)^'Forecast Base'!F26+'Forecast Base'!F22*(1+H$6)/($A11-H$6)/(1+$A11)^'Forecast Base'!F26+SUM(Assumptions!$B$9:$B$12)-Assumptions!$B$13+Assumptions!$B$31)/('DCF &amp; Cases'!$C$15)</x:f>
        <x:v>83.10883854582492</x:v>
      </x:c>
    </x:row>
    <x:row r="12">
      <x:c r="A12" s="17" t="n">
        <x:v>0.11</x:v>
      </x:c>
      <x:c r="B12" s="48" t="n">
        <x:f>('Forecast Base'!B22*'Forecast Base'!B25/(1+$A12)^'Forecast Base'!B26+'Forecast Base'!C22*'Forecast Base'!C25/(1+$A12)^'Forecast Base'!C26+'Forecast Base'!D22*'Forecast Base'!D25/(1+$A12)^'Forecast Base'!D26+'Forecast Base'!E22*'Forecast Base'!E25/(1+$A12)^'Forecast Base'!E26+'Forecast Base'!F22*'Forecast Base'!F25/(1+$A12)^'Forecast Base'!F26+'Forecast Base'!F22*(1+B$6)/($A12-B$6)/(1+$A12)^'Forecast Base'!F26+SUM(Assumptions!$B$9:$B$12)-Assumptions!$B$13+Assumptions!$B$31)/('DCF &amp; Cases'!$C$15)</x:f>
        <x:v>60.56303662384595</x:v>
      </x:c>
      <x:c r="C12" s="48" t="n">
        <x:f>('Forecast Base'!B22*'Forecast Base'!B25/(1+$A12)^'Forecast Base'!B26+'Forecast Base'!C22*'Forecast Base'!C25/(1+$A12)^'Forecast Base'!C26+'Forecast Base'!D22*'Forecast Base'!D25/(1+$A12)^'Forecast Base'!D26+'Forecast Base'!E22*'Forecast Base'!E25/(1+$A12)^'Forecast Base'!E26+'Forecast Base'!F22*'Forecast Base'!F25/(1+$A12)^'Forecast Base'!F26+'Forecast Base'!F22*(1+C$6)/($A12-C$6)/(1+$A12)^'Forecast Base'!F26+SUM(Assumptions!$B$9:$B$12)-Assumptions!$B$13+Assumptions!$B$31)/('DCF &amp; Cases'!$C$15)</x:f>
        <x:v>63.14235075193092</x:v>
      </x:c>
      <x:c r="D12" s="48" t="n">
        <x:f>('Forecast Base'!B22*'Forecast Base'!B25/(1+$A12)^'Forecast Base'!B26+'Forecast Base'!C22*'Forecast Base'!C25/(1+$A12)^'Forecast Base'!C26+'Forecast Base'!D22*'Forecast Base'!D25/(1+$A12)^'Forecast Base'!D26+'Forecast Base'!E22*'Forecast Base'!E25/(1+$A12)^'Forecast Base'!E26+'Forecast Base'!F22*'Forecast Base'!F25/(1+$A12)^'Forecast Base'!F26+'Forecast Base'!F22*(1+D$6)/($A12-D$6)/(1+$A12)^'Forecast Base'!F26+SUM(Assumptions!$B$9:$B$12)-Assumptions!$B$13+Assumptions!$B$31)/('DCF &amp; Cases'!$C$15)</x:f>
        <x:v>66.02511360096705</x:v>
      </x:c>
      <x:c r="E12" s="48" t="n">
        <x:f>('Forecast Base'!B22*'Forecast Base'!B25/(1+$A12)^'Forecast Base'!B26+'Forecast Base'!C22*'Forecast Base'!C25/(1+$A12)^'Forecast Base'!C26+'Forecast Base'!D22*'Forecast Base'!D25/(1+$A12)^'Forecast Base'!D26+'Forecast Base'!E22*'Forecast Base'!E25/(1+$A12)^'Forecast Base'!E26+'Forecast Base'!F22*'Forecast Base'!F25/(1+$A12)^'Forecast Base'!F26+'Forecast Base'!F22*(1+E$6)/($A12-E$6)/(1+$A12)^'Forecast Base'!F26+SUM(Assumptions!$B$9:$B$12)-Assumptions!$B$13+Assumptions!$B$31)/('DCF &amp; Cases'!$C$15)</x:f>
        <x:v>67.5975297004413</x:v>
      </x:c>
      <x:c r="F12" s="48" t="n">
        <x:f>('Forecast Base'!B22*'Forecast Base'!B25/(1+$A12)^'Forecast Base'!B26+'Forecast Base'!C22*'Forecast Base'!C25/(1+$A12)^'Forecast Base'!C26+'Forecast Base'!D22*'Forecast Base'!D25/(1+$A12)^'Forecast Base'!D26+'Forecast Base'!E22*'Forecast Base'!E25/(1+$A12)^'Forecast Base'!E26+'Forecast Base'!F22*'Forecast Base'!F25/(1+$A12)^'Forecast Base'!F26+'Forecast Base'!F22*(1+F$6)/($A12-F$6)/(1+$A12)^'Forecast Base'!F26+SUM(Assumptions!$B$9:$B$12)-Assumptions!$B$13+Assumptions!$B$31)/('DCF &amp; Cases'!$C$15)</x:f>
        <x:v>69.26822180613269</x:v>
      </x:c>
      <x:c r="G12" s="48" t="n">
        <x:f>('Forecast Base'!B22*'Forecast Base'!B25/(1+$A12)^'Forecast Base'!B26+'Forecast Base'!C22*'Forecast Base'!C25/(1+$A12)^'Forecast Base'!C26+'Forecast Base'!D22*'Forecast Base'!D25/(1+$A12)^'Forecast Base'!D26+'Forecast Base'!E22*'Forecast Base'!E25/(1+$A12)^'Forecast Base'!E26+'Forecast Base'!F22*'Forecast Base'!F25/(1+$A12)^'Forecast Base'!F26+'Forecast Base'!F22*(1+G$6)/($A12-G$6)/(1+$A12)^'Forecast Base'!F26+SUM(Assumptions!$B$9:$B$12)-Assumptions!$B$13+Assumptions!$B$31)/('DCF &amp; Cases'!$C$15)</x:f>
        <x:v>72.94374443865374</x:v>
      </x:c>
      <x:c r="H12" s="48" t="n">
        <x:f>('Forecast Base'!B22*'Forecast Base'!B25/(1+$A12)^'Forecast Base'!B26+'Forecast Base'!C22*'Forecast Base'!C25/(1+$A12)^'Forecast Base'!C26+'Forecast Base'!D22*'Forecast Base'!D25/(1+$A12)^'Forecast Base'!D26+'Forecast Base'!E22*'Forecast Base'!E25/(1+$A12)^'Forecast Base'!E26+'Forecast Base'!F22*'Forecast Base'!F25/(1+$A12)^'Forecast Base'!F26+'Forecast Base'!F22*(1+H$6)/($A12-H$6)/(1+$A12)^'Forecast Base'!F26+SUM(Assumptions!$B$9:$B$12)-Assumptions!$B$13+Assumptions!$B$31)/('DCF &amp; Cases'!$C$15)</x:f>
        <x:v>77.14434173296351</x:v>
      </x:c>
    </x:row>
    <x:row r="13">
      <x:c r="A13" s="17" t="n">
        <x:v>0.115</x:v>
      </x:c>
      <x:c r="B13" s="48" t="n">
        <x:f>('Forecast Base'!B22*'Forecast Base'!B25/(1+$A13)^'Forecast Base'!B26+'Forecast Base'!C22*'Forecast Base'!C25/(1+$A13)^'Forecast Base'!C26+'Forecast Base'!D22*'Forecast Base'!D25/(1+$A13)^'Forecast Base'!D26+'Forecast Base'!E22*'Forecast Base'!E25/(1+$A13)^'Forecast Base'!E26+'Forecast Base'!F22*'Forecast Base'!F25/(1+$A13)^'Forecast Base'!F26+'Forecast Base'!F22*(1+B$6)/($A13-B$6)/(1+$A13)^'Forecast Base'!F26+SUM(Assumptions!$B$9:$B$12)-Assumptions!$B$13+Assumptions!$B$31)/('DCF &amp; Cases'!$C$15)</x:f>
        <x:v>57.48923070949705</x:v>
      </x:c>
      <x:c r="C13" s="48" t="n">
        <x:f>('Forecast Base'!B22*'Forecast Base'!B25/(1+$A13)^'Forecast Base'!B26+'Forecast Base'!C22*'Forecast Base'!C25/(1+$A13)^'Forecast Base'!C26+'Forecast Base'!D22*'Forecast Base'!D25/(1+$A13)^'Forecast Base'!D26+'Forecast Base'!E22*'Forecast Base'!E25/(1+$A13)^'Forecast Base'!E26+'Forecast Base'!F22*'Forecast Base'!F25/(1+$A13)^'Forecast Base'!F26+'Forecast Base'!F22*(1+C$6)/($A13-C$6)/(1+$A13)^'Forecast Base'!F26+SUM(Assumptions!$B$9:$B$12)-Assumptions!$B$13+Assumptions!$B$31)/('DCF &amp; Cases'!$C$15)</x:f>
        <x:v>59.77695197126436</x:v>
      </x:c>
      <x:c r="D13" s="48" t="n">
        <x:f>('Forecast Base'!B22*'Forecast Base'!B25/(1+$A13)^'Forecast Base'!B26+'Forecast Base'!C22*'Forecast Base'!C25/(1+$A13)^'Forecast Base'!C26+'Forecast Base'!D22*'Forecast Base'!D25/(1+$A13)^'Forecast Base'!D26+'Forecast Base'!E22*'Forecast Base'!E25/(1+$A13)^'Forecast Base'!E26+'Forecast Base'!F22*'Forecast Base'!F25/(1+$A13)^'Forecast Base'!F26+'Forecast Base'!F22*(1+D$6)/($A13-D$6)/(1+$A13)^'Forecast Base'!F26+SUM(Assumptions!$B$9:$B$12)-Assumptions!$B$13+Assumptions!$B$31)/('DCF &amp; Cases'!$C$15)</x:f>
        <x:v>62.31886448433913</x:v>
      </x:c>
      <x:c r="E13" s="48" t="n">
        <x:f>('Forecast Base'!B22*'Forecast Base'!B25/(1+$A13)^'Forecast Base'!B26+'Forecast Base'!C22*'Forecast Base'!C25/(1+$A13)^'Forecast Base'!C26+'Forecast Base'!D22*'Forecast Base'!D25/(1+$A13)^'Forecast Base'!D26+'Forecast Base'!E22*'Forecast Base'!E25/(1+$A13)^'Forecast Base'!E26+'Forecast Base'!F22*'Forecast Base'!F25/(1+$A13)^'Forecast Base'!F26+'Forecast Base'!F22*(1+E$6)/($A13-E$6)/(1+$A13)^'Forecast Base'!F26+SUM(Assumptions!$B$9:$B$12)-Assumptions!$B$13+Assumptions!$B$31)/('DCF &amp; Cases'!$C$15)</x:f>
        <x:v>63.69875984857971</x:v>
      </x:c>
      <x:c r="F13" s="48" t="n">
        <x:f>('Forecast Base'!B22*'Forecast Base'!B25/(1+$A13)^'Forecast Base'!B26+'Forecast Base'!C22*'Forecast Base'!C25/(1+$A13)^'Forecast Base'!C26+'Forecast Base'!D22*'Forecast Base'!D25/(1+$A13)^'Forecast Base'!D26+'Forecast Base'!E22*'Forecast Base'!E25/(1+$A13)^'Forecast Base'!E26+'Forecast Base'!F22*'Forecast Base'!F25/(1+$A13)^'Forecast Base'!F26+'Forecast Base'!F22*(1+F$6)/($A13-F$6)/(1+$A13)^'Forecast Base'!F26+SUM(Assumptions!$B$9:$B$12)-Assumptions!$B$13+Assumptions!$B$31)/('DCF &amp; Cases'!$C$15)</x:f>
        <x:v>65.15982552836387</x:v>
      </x:c>
      <x:c r="G13" s="48" t="n">
        <x:f>('Forecast Base'!B22*'Forecast Base'!B25/(1+$A13)^'Forecast Base'!B26+'Forecast Base'!C22*'Forecast Base'!C25/(1+$A13)^'Forecast Base'!C26+'Forecast Base'!D22*'Forecast Base'!D25/(1+$A13)^'Forecast Base'!D26+'Forecast Base'!E22*'Forecast Base'!E25/(1+$A13)^'Forecast Base'!E26+'Forecast Base'!F22*'Forecast Base'!F25/(1+$A13)^'Forecast Base'!F26+'Forecast Base'!F22*(1+G$6)/($A13-G$6)/(1+$A13)^'Forecast Base'!F26+SUM(Assumptions!$B$9:$B$12)-Assumptions!$B$13+Assumptions!$B$31)/('DCF &amp; Cases'!$C$15)</x:f>
        <x:v>68.35590670289169</x:v>
      </x:c>
      <x:c r="H13" s="48" t="n">
        <x:f>('Forecast Base'!B22*'Forecast Base'!B25/(1+$A13)^'Forecast Base'!B26+'Forecast Base'!C22*'Forecast Base'!C25/(1+$A13)^'Forecast Base'!C26+'Forecast Base'!D22*'Forecast Base'!D25/(1+$A13)^'Forecast Base'!D26+'Forecast Base'!E22*'Forecast Base'!E25/(1+$A13)^'Forecast Base'!E26+'Forecast Base'!F22*'Forecast Base'!F25/(1+$A13)^'Forecast Base'!F26+'Forecast Base'!F22*(1+H$6)/($A13-H$6)/(1+$A13)^'Forecast Base'!F26+SUM(Assumptions!$B$9:$B$12)-Assumptions!$B$13+Assumptions!$B$31)/('DCF &amp; Cases'!$C$15)</x:f>
        <x:v>71.97813203402323</x:v>
      </x:c>
    </x:row>
    <x:row r="14">
      <x:c r="A14" s="17" t="n">
        <x:v>0.12</x:v>
      </x:c>
      <x:c r="B14" s="48" t="n">
        <x:f>('Forecast Base'!B22*'Forecast Base'!B25/(1+$A14)^'Forecast Base'!B26+'Forecast Base'!C22*'Forecast Base'!C25/(1+$A14)^'Forecast Base'!C26+'Forecast Base'!D22*'Forecast Base'!D25/(1+$A14)^'Forecast Base'!D26+'Forecast Base'!E22*'Forecast Base'!E25/(1+$A14)^'Forecast Base'!E26+'Forecast Base'!F22*'Forecast Base'!F25/(1+$A14)^'Forecast Base'!F26+'Forecast Base'!F22*(1+B$6)/($A14-B$6)/(1+$A14)^'Forecast Base'!F26+SUM(Assumptions!$B$9:$B$12)-Assumptions!$B$13+Assumptions!$B$31)/('DCF &amp; Cases'!$C$15)</x:f>
        <x:v>54.71070984652508</x:v>
      </x:c>
      <x:c r="C14" s="48" t="n">
        <x:f>('Forecast Base'!B22*'Forecast Base'!B25/(1+$A14)^'Forecast Base'!B26+'Forecast Base'!C22*'Forecast Base'!C25/(1+$A14)^'Forecast Base'!C26+'Forecast Base'!D22*'Forecast Base'!D25/(1+$A14)^'Forecast Base'!D26+'Forecast Base'!E22*'Forecast Base'!E25/(1+$A14)^'Forecast Base'!E26+'Forecast Base'!F22*'Forecast Base'!F25/(1+$A14)^'Forecast Base'!F26+'Forecast Base'!F22*(1+C$6)/($A14-C$6)/(1+$A14)^'Forecast Base'!F26+SUM(Assumptions!$B$9:$B$12)-Assumptions!$B$13+Assumptions!$B$31)/('DCF &amp; Cases'!$C$15)</x:f>
        <x:v>56.75067223385956</x:v>
      </x:c>
      <x:c r="D14" s="48" t="n">
        <x:f>('Forecast Base'!B22*'Forecast Base'!B25/(1+$A14)^'Forecast Base'!B26+'Forecast Base'!C22*'Forecast Base'!C25/(1+$A14)^'Forecast Base'!C26+'Forecast Base'!D22*'Forecast Base'!D25/(1+$A14)^'Forecast Base'!D26+'Forecast Base'!E22*'Forecast Base'!E25/(1+$A14)^'Forecast Base'!E26+'Forecast Base'!F22*'Forecast Base'!F25/(1+$A14)^'Forecast Base'!F26+'Forecast Base'!F22*(1+D$6)/($A14-D$6)/(1+$A14)^'Forecast Base'!F26+SUM(Assumptions!$B$9:$B$12)-Assumptions!$B$13+Assumptions!$B$31)/('DCF &amp; Cases'!$C$15)</x:f>
        <x:v>59.00536750407132</x:v>
      </x:c>
      <x:c r="E14" s="48" t="n">
        <x:f>('Forecast Base'!B22*'Forecast Base'!B25/(1+$A14)^'Forecast Base'!B26+'Forecast Base'!C22*'Forecast Base'!C25/(1+$A14)^'Forecast Base'!C26+'Forecast Base'!D22*'Forecast Base'!D25/(1+$A14)^'Forecast Base'!D26+'Forecast Base'!E22*'Forecast Base'!E25/(1+$A14)^'Forecast Base'!E26+'Forecast Base'!F22*'Forecast Base'!F25/(1+$A14)^'Forecast Base'!F26+'Forecast Base'!F22*(1+E$6)/($A14-E$6)/(1+$A14)^'Forecast Base'!F26+SUM(Assumptions!$B$9:$B$12)-Assumptions!$B$13+Assumptions!$B$31)/('DCF &amp; Cases'!$C$15)</x:f>
        <x:v>60.22412170418581</x:v>
      </x:c>
      <x:c r="F14" s="48" t="n">
        <x:f>('Forecast Base'!B22*'Forecast Base'!B25/(1+$A14)^'Forecast Base'!B26+'Forecast Base'!C22*'Forecast Base'!C25/(1+$A14)^'Forecast Base'!C26+'Forecast Base'!D22*'Forecast Base'!D25/(1+$A14)^'Forecast Base'!D26+'Forecast Base'!E22*'Forecast Base'!E25/(1+$A14)^'Forecast Base'!E26+'Forecast Base'!F22*'Forecast Base'!F25/(1+$A14)^'Forecast Base'!F26+'Forecast Base'!F22*(1+F$6)/($A14-F$6)/(1+$A14)^'Forecast Base'!F26+SUM(Assumptions!$B$9:$B$12)-Assumptions!$B$13+Assumptions!$B$31)/('DCF &amp; Cases'!$C$15)</x:f>
        <x:v>61.5105844709733</x:v>
      </x:c>
      <x:c r="G14" s="48" t="n">
        <x:f>('Forecast Base'!B22*'Forecast Base'!B25/(1+$A14)^'Forecast Base'!B26+'Forecast Base'!C22*'Forecast Base'!C25/(1+$A14)^'Forecast Base'!C26+'Forecast Base'!D22*'Forecast Base'!D25/(1+$A14)^'Forecast Base'!D26+'Forecast Base'!E22*'Forecast Base'!E25/(1+$A14)^'Forecast Base'!E26+'Forecast Base'!F22*'Forecast Base'!F25/(1+$A14)^'Forecast Base'!F26+'Forecast Base'!F22*(1+G$6)/($A14-G$6)/(1+$A14)^'Forecast Base'!F26+SUM(Assumptions!$B$9:$B$12)-Assumptions!$B$13+Assumptions!$B$31)/('DCF &amp; Cases'!$C$15)</x:f>
        <x:v>64.31053284574611</x:v>
      </x:c>
      <x:c r="H14" s="48" t="n">
        <x:f>('Forecast Base'!B22*'Forecast Base'!B25/(1+$A14)^'Forecast Base'!B26+'Forecast Base'!C22*'Forecast Base'!C25/(1+$A14)^'Forecast Base'!C26+'Forecast Base'!D22*'Forecast Base'!D25/(1+$A14)^'Forecast Base'!D26+'Forecast Base'!E22*'Forecast Base'!E25/(1+$A14)^'Forecast Base'!E26+'Forecast Base'!F22*'Forecast Base'!F25/(1+$A14)^'Forecast Base'!F26+'Forecast Base'!F22*(1+H$6)/($A14-H$6)/(1+$A14)^'Forecast Base'!F26+SUM(Assumptions!$B$9:$B$12)-Assumptions!$B$13+Assumptions!$B$31)/('DCF &amp; Cases'!$C$15)</x:f>
        <x:v>67.46047476736551</x:v>
      </x:c>
    </x:row>
    <x:row r="17">
      <x:c r="A17" t="str">
        <x:v>Reference share price</x:v>
      </x:c>
      <x:c r="B17" s="48" t="n">
        <x:f>Assumptions!B5</x:f>
        <x:v>67.62</x:v>
      </x:c>
    </x:row>
    <x:row r="18">
      <x:c r="A18" t="str">
        <x:v>Base fair value</x:v>
      </x:c>
      <x:c r="B18" s="48" t="n">
        <x:f>'DCF &amp; Cases'!C16</x:f>
        <x:v>77.01874489826581</x:v>
      </x:c>
    </x:row>
    <x:row r="19">
      <x:c r="A19" t="str">
        <x:v>Upside / downside</x:v>
      </x:c>
      <x:c r="B19" s="12" t="n">
        <x:f>'DCF &amp; Cases'!C18</x:f>
        <x:v>0.13899356548751562</x:v>
      </x:c>
    </x:row>
    <x:row r="20">
      <x:c r="A20" t="str">
        <x:v>Implied FCF terminal %</x:v>
      </x:c>
      <x:c r="B20" s="12" t="n">
        <x:f>'DCF &amp; Cases'!C8/'DCF &amp; Cases'!C9</x:f>
        <x:v>0.7852045560857482</x:v>
      </x:c>
    </x:row>
    <x:row r="23">
      <x:c r="A23" t="str">
        <x:v>Important: table holds the Base operating forecast and net financial investments constant. It changes WACC and terminal g only.</x:v>
      </x:c>
    </x:row>
    <x:row r="24">
      <x:c r="A24" t="str">
        <x:v>Terminal value dominates DCF. A seemingly precise price target should not be presented as certainty.</x:v>
      </x:c>
    </x:row>
  </x:sheetData>
  <x:mergeCells>
    <x:mergeCell ref="A1:H2"/>
  </x:mergeCells>
  <x:conditionalFormatting sqref="B7:H14">
    <x:cfRule type="colorScale" priority="1">
      <x:colorScale>
        <x:cfvo type="min"/>
        <x:cfvo type="percentile" val="50"/>
        <x:cfvo type="max"/>
        <x:color rgb="FFF8D7DA"/>
        <x:color rgb="FFFFF4CD"/>
        <x:color rgb="FFCFEDE1"/>
      </x:colorScale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7" hidden="0" customWidth="1"/>
    <x:col min="2" max="2" width="9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 ht="23" customHeight="1">
      <x:c r="A1" s="4" t="str">
        <x:v>UBER | TRADING COMPS</x:v>
      </x:c>
      <x:c r="B1" s="4"/>
      <x:c r="C1" s="4"/>
      <x:c r="D1" s="4"/>
      <x:c r="E1" s="4"/>
      <x:c r="F1" s="4"/>
      <x:c r="G1" s="4"/>
      <x:c r="H1" s="4"/>
    </x:row>
    <x:row r="2" ht="23" customHeight="1">
      <x:c r="A2" s="4"/>
      <x:c r="B2" s="4"/>
      <x:c r="C2" s="4"/>
      <x:c r="D2" s="4"/>
      <x:c r="E2" s="4"/>
      <x:c r="F2" s="4"/>
      <x:c r="G2" s="4"/>
      <x:c r="H2" s="4"/>
    </x:row>
    <x:row r="4">
      <x:c r="A4" s="9" t="str">
        <x:v>Matched market closes 2026-10-21</x:v>
      </x:c>
      <x:c r="B4" s="9" t="str">
        <x:v>UBER</x:v>
      </x:c>
      <x:c r="C4" s="9" t="str">
        <x:v>LYFT</x:v>
      </x:c>
      <x:c r="D4" s="9" t="str">
        <x:v>DASH</x:v>
      </x:c>
    </x:row>
    <x:row r="5">
      <x:c r="A5" t="str">
        <x:v>Price ($/share)</x:v>
      </x:c>
      <x:c r="B5" s="16" t="n">
        <x:v>67.62</x:v>
      </x:c>
      <x:c r="C5" s="16" t="n">
        <x:v>16.79</x:v>
      </x:c>
      <x:c r="D5" s="16" t="n">
        <x:v>184.45</x:v>
      </x:c>
    </x:row>
    <x:row r="6">
      <x:c r="A6" t="str">
        <x:v>Outstanding shares (mm)</x:v>
      </x:c>
      <x:c r="B6" s="16" t="n">
        <x:v>2039.994</x:v>
      </x:c>
      <x:c r="C6" s="16" t="n">
        <x:v>379.17</x:v>
      </x:c>
      <x:c r="D6" s="16" t="n">
        <x:v>433.256</x:v>
      </x:c>
    </x:row>
    <x:row r="7">
      <x:c r="A7" t="str">
        <x:v>Equity market cap ($mm)</x:v>
      </x:c>
      <x:c r="B7" s="14" t="n">
        <x:f>B5*B6</x:f>
        <x:v>137944.39428</x:v>
      </x:c>
      <x:c r="C7" s="14" t="n">
        <x:f>C5*C6</x:f>
        <x:v>6366.2643</x:v>
      </x:c>
      <x:c r="D7" s="14" t="n">
        <x:f>D5*D6</x:f>
        <x:v>79914.06919999998</x:v>
      </x:c>
    </x:row>
    <x:row r="8">
      <x:c r="A8" t="str">
        <x:v>Gross debt ($mm)</x:v>
      </x:c>
      <x:c r="B8" s="16" t="n">
        <x:v>12723</x:v>
      </x:c>
      <x:c r="C8" s="16" t="n">
        <x:v>990.56</x:v>
      </x:c>
      <x:c r="D8" s="16" t="n">
        <x:v>2727</x:v>
      </x:c>
    </x:row>
    <x:row r="9">
      <x:c r="A9" t="str">
        <x:v>Unrestricted cash / investments ($mm)</x:v>
      </x:c>
      <x:c r="B9" s="16" t="n">
        <x:v>5391</x:v>
      </x:c>
      <x:c r="C9" s="16" t="n">
        <x:v>1794.515</x:v>
      </x:c>
      <x:c r="D9" s="16" t="n">
        <x:v>6216</x:v>
      </x:c>
    </x:row>
    <x:row r="10">
      <x:c r="A10" t="str">
        <x:v>Other financial/equity investments ($mm)</x:v>
      </x:c>
      <x:c r="B10" s="16" t="n">
        <x:v>12532</x:v>
      </x:c>
      <x:c r="C10" s="16" t="n">
        <x:v>0</x:v>
      </x:c>
      <x:c r="D10" s="16" t="n">
        <x:v>0</x:v>
      </x:c>
    </x:row>
    <x:row r="11">
      <x:c r="A11" t="str">
        <x:v>Enterprise value ($mm)</x:v>
      </x:c>
      <x:c r="B11" s="14" t="n">
        <x:f>B7+B8-B9-B10</x:f>
        <x:v>132744.39428</x:v>
      </x:c>
      <x:c r="C11" s="14" t="n">
        <x:f>C7+C8-C9-C10</x:f>
        <x:v>5562.3093</x:v>
      </x:c>
      <x:c r="D11" s="14" t="n">
        <x:f>D7+D8-D9-D10</x:f>
        <x:v>76425.06919999998</x:v>
      </x:c>
    </x:row>
    <x:row r="12">
      <x:c r="A12" t="str">
        <x:v>FY2025 GAAP revenue ($mm)</x:v>
      </x:c>
      <x:c r="B12" s="16" t="n">
        <x:v>52017</x:v>
      </x:c>
      <x:c r="C12" s="16" t="n">
        <x:v>6316.3</x:v>
      </x:c>
      <x:c r="D12" s="16" t="n">
        <x:v>13717</x:v>
      </x:c>
    </x:row>
    <x:row r="13">
      <x:c r="A13" t="str">
        <x:v>FY2025 Adjusted EBITDA ($mm)</x:v>
      </x:c>
      <x:c r="B13" s="16" t="n">
        <x:v>8730</x:v>
      </x:c>
      <x:c r="C13" s="16" t="n">
        <x:v>528.8</x:v>
      </x:c>
      <x:c r="D13" s="16" t="n">
        <x:v>2779</x:v>
      </x:c>
    </x:row>
    <x:row r="14">
      <x:c r="A14" t="str">
        <x:v>EV / FY2025 adjusted EBITDA</x:v>
      </x:c>
      <x:c r="B14" s="56" t="n">
        <x:f>B11/B13</x:f>
        <x:v>15.205543445589921</x:v>
      </x:c>
      <x:c r="C14" s="56" t="n">
        <x:f>C11/C13</x:f>
        <x:v>10.518739220877459</x:v>
      </x:c>
      <x:c r="D14" s="56" t="n">
        <x:f>D11/D13</x:f>
        <x:v>27.5009245052177</x:v>
      </x:c>
    </x:row>
    <x:row r="15">
      <x:c r="A15" t="str">
        <x:v>EV / FY2025 GAAP revenue</x:v>
      </x:c>
      <x:c r="B15" s="56" t="n">
        <x:f>B11/B12</x:f>
        <x:v>2.5519425241747893</x:v>
      </x:c>
      <x:c r="C15" s="56" t="n">
        <x:f>C11/C12</x:f>
        <x:v>0.880627788420436</x:v>
      </x:c>
      <x:c r="D15" s="56" t="n">
        <x:f>D11/D12</x:f>
        <x:v>5.571558591528759</x:v>
      </x:c>
    </x:row>
    <x:row r="16">
      <x:c r="A16" t="str">
        <x:v>FY2025 EBITDA / revenue</x:v>
      </x:c>
      <x:c r="B16" s="12" t="n">
        <x:f>B13/B12</x:f>
        <x:v>0.16782974796701078</x:v>
      </x:c>
      <x:c r="C16" s="12" t="n">
        <x:f>C13/C12</x:f>
        <x:v>0.08371989930813925</x:v>
      </x:c>
      <x:c r="D16" s="12" t="n">
        <x:f>D13/D12</x:f>
        <x:v>0.20259531967631406</x:v>
      </x:c>
    </x:row>
    <x:row r="19" ht="23" customHeight="1">
      <x:c r="A19" s="23" t="str">
        <x:v>COMPARABILITY WARNINGS</x:v>
      </x:c>
      <x:c r="B19" s="23"/>
      <x:c r="C19" s="23"/>
      <x:c r="D19" s="23"/>
    </x:row>
    <x:row r="21" ht="29" customHeight="1">
      <x:c r="A21" t="str">
        <x:v>Reference close</x:v>
      </x:c>
      <x:c r="B21" s="26" t="str">
        <x:v>All three stocks priced using matched Oct 21, 2026 closing prices.</x:v>
      </x:c>
    </x:row>
    <x:row r="22" ht="29" customHeight="1">
      <x:c r="A22" t="str">
        <x:v>Statement timing</x:v>
      </x:c>
      <x:c r="B22" s="26" t="str">
        <x:v>Balance sheets: June 30 2026. Revenue/EBITDA: FY2025. Multiples are backward-looking, not NTM.</x:v>
      </x:c>
    </x:row>
    <x:row r="23" ht="29" customHeight="1">
      <x:c r="A23" t="str">
        <x:v>EBITDA definitions</x:v>
      </x:c>
      <x:c r="B23" s="26" t="str">
        <x:v>Company-specific adjusted EBITDA definitions differ; isolate accounting / SBC differences.</x:v>
      </x:c>
    </x:row>
    <x:row r="24" ht="29" customHeight="1">
      <x:c r="A24" t="str">
        <x:v>Business mix</x:v>
      </x:c>
      <x:c r="B24" s="26" t="str">
        <x:v>Lyft mostly ride-hail, DoorDash mostly delivery; neither is a perfect Uber peer.</x:v>
      </x:c>
    </x:row>
    <x:row r="25" ht="29" customHeight="1">
      <x:c r="A25" t="str">
        <x:v>Market comp signal</x:v>
      </x:c>
      <x:c r="B25" s="26" t="str">
        <x:v>A valuation range / sanity-check rather than an independent price target.</x:v>
      </x:c>
    </x:row>
    <x:row r="26" ht="29" customHeight="1">
      <x:c r="A26" t="str">
        <x:v>Uber investment addback</x:v>
      </x:c>
      <x:c r="B26" s="26" t="str">
        <x:v>Uber financial investments include sizable equity marks and DH stake; normalization differs from peers.</x:v>
      </x:c>
    </x:row>
  </x:sheetData>
  <x:mergeCells>
    <x:mergeCell ref="A1:H2"/>
    <x:mergeCell ref="A19:D19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52" hidden="0" customWidth="1"/>
    <x:col min="3" max="3" width="5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 ht="23" customHeight="1">
      <x:c r="A1" s="4" t="str">
        <x:v>UBER | DEAL &amp; RISKS</x:v>
      </x:c>
      <x:c r="B1" s="4"/>
      <x:c r="C1" s="4"/>
      <x:c r="D1" s="4"/>
      <x:c r="E1" s="4"/>
      <x:c r="F1" s="4"/>
      <x:c r="G1" s="4"/>
      <x:c r="H1" s="4"/>
    </x:row>
    <x:row r="2" ht="23" customHeight="1">
      <x:c r="A2" s="4"/>
      <x:c r="B2" s="4"/>
      <x:c r="C2" s="4"/>
      <x:c r="D2" s="4"/>
      <x:c r="E2" s="4"/>
      <x:c r="F2" s="4"/>
      <x:c r="G2" s="4"/>
      <x:c r="H2" s="4"/>
    </x:row>
    <x:row r="4" ht="23" customHeight="1">
      <x:c r="A4" s="23" t="str">
        <x:v>PENDING DELIVERY HERO TRANSACTION (AS OF 2026-10-22)</x:v>
      </x:c>
      <x:c r="B4" s="23"/>
      <x:c r="C4" s="23"/>
      <x:c r="D4" s="23"/>
      <x:c r="E4" s="23"/>
      <x:c r="F4" s="23"/>
      <x:c r="G4" s="23"/>
      <x:c r="H4" s="23"/>
    </x:row>
    <x:row r="5">
      <x:c r="A5" t="str">
        <x:v>Offer announced</x:v>
      </x:c>
      <x:c r="B5" t="str">
        <x:v>2026-07-16</x:v>
      </x:c>
      <x:c r="C5" t="str">
        <x:v>UBER_DELIVERY_HERO</x:v>
      </x:c>
    </x:row>
    <x:row r="6">
      <x:c r="A6" t="str">
        <x:v>Cash consideration per target share (EUR)</x:v>
      </x:c>
      <x:c r="B6" t="n">
        <x:v>41.5</x:v>
      </x:c>
      <x:c r="C6" t="str">
        <x:v>UBER_DELIVERY_HERO</x:v>
      </x:c>
    </x:row>
    <x:row r="7">
      <x:c r="A7" t="str">
        <x:v>Implied 100%-equity value ($mm)</x:v>
      </x:c>
      <x:c r="B7" t="n">
        <x:v>14800</x:v>
      </x:c>
      <x:c r="C7" t="str">
        <x:v>UBER_DELIVERY_HERO</x:v>
      </x:c>
    </x:row>
    <x:row r="8">
      <x:c r="A8" t="str">
        <x:v>Adjusted consideration after Uber prior stake ($mm)</x:v>
      </x:c>
      <x:c r="B8" t="n">
        <x:v>13700</x:v>
      </x:c>
      <x:c r="C8" t="str">
        <x:v>UBER_DELIVERY_HERO</x:v>
      </x:c>
    </x:row>
    <x:row r="9">
      <x:c r="A9" t="str">
        <x:v>Separate 14-market sale to SSW ($mm)</x:v>
      </x:c>
      <x:c r="B9" t="n">
        <x:v>1600</x:v>
      </x:c>
      <x:c r="C9" t="str">
        <x:v>UBER_DELIVERY_HERO</x:v>
      </x:c>
    </x:row>
    <x:row r="10">
      <x:c r="A10" t="str">
        <x:v>Gross bookings of DH operations acquired, FY2025 ($mm)</x:v>
      </x:c>
      <x:c r="B10" t="n">
        <x:v>42000</x:v>
      </x:c>
      <x:c r="C10" t="str">
        <x:v>UBER_DELIVERY_HERO</x:v>
      </x:c>
    </x:row>
    <x:row r="11">
      <x:c r="A11" t="str">
        <x:v>Offer acceptance window end</x:v>
      </x:c>
      <x:c r="B11" t="str">
        <x:v>2026-11-05</x:v>
      </x:c>
      <x:c r="C11" t="str">
        <x:v>UBER_OFFER_UPDATE</x:v>
      </x:c>
    </x:row>
    <x:row r="12">
      <x:c r="A12" t="str">
        <x:v>Target close</x:v>
      </x:c>
      <x:c r="B12" t="str">
        <x:v>H2 2027 (company target)</x:v>
      </x:c>
      <x:c r="C12" t="str">
        <x:v>UBER_Q2_26_10Q</x:v>
      </x:c>
    </x:row>
    <x:row r="13">
      <x:c r="A13" t="str">
        <x:v>Funding</x:v>
      </x:c>
      <x:c r="B13" t="str">
        <x:v>Existing cash and new debt</x:v>
      </x:c>
      <x:c r="C13" t="str">
        <x:v>UBER_Q2_26_10Q</x:v>
      </x:c>
    </x:row>
    <x:row r="14">
      <x:c r="A14" t="str">
        <x:v>As-of state</x:v>
      </x:c>
      <x:c r="B14" t="str">
        <x:v>Pending; do not assume consummation</x:v>
      </x:c>
      <x:c r="C14" t="str">
        <x:v>UBER_OFFER_UPDATE</x:v>
      </x:c>
    </x:row>
    <x:row r="17" ht="23" customHeight="1">
      <x:c r="A17" s="23" t="str">
        <x:v>WHAT IS AND IS NOT IN OUR UNDERWRITING</x:v>
      </x:c>
      <x:c r="B17" s="23"/>
      <x:c r="C17" s="23"/>
      <x:c r="D17" s="23"/>
      <x:c r="E17" s="23"/>
      <x:c r="F17" s="23"/>
      <x:c r="G17" s="23"/>
      <x:c r="H17" s="23"/>
    </x:row>
    <x:row r="19" ht="34" customHeight="1">
      <x:c r="A19" t="str">
        <x:v>Standalone operating case</x:v>
      </x:c>
      <x:c r="B19" s="26" t="str">
        <x:v>DCF forecasts Uber legacy operations; not a Delivery Hero consolidated three-statement model.</x:v>
      </x:c>
    </x:row>
    <x:row r="20" ht="34" customHeight="1">
      <x:c r="A20" t="str">
        <x:v>Market value of stake</x:v>
      </x:c>
      <x:c r="B20" s="26" t="str">
        <x:v>Q2 2026 balance-sheet equity method and financial investments are added separately to EV. DH stake is embedded.</x:v>
      </x:c>
    </x:row>
    <x:row r="21" ht="34" customHeight="1">
      <x:c r="A21" t="str">
        <x:v>Proposed M&amp;A overlay</x:v>
      </x:c>
      <x:c r="B21" s="26" t="str">
        <x:v>Bear -$5B, Base $0, Bull +$5B are illustrative net value sensitivities, not company guidance.</x:v>
      </x:c>
    </x:row>
    <x:row r="22" ht="34" customHeight="1">
      <x:c r="A22" t="str">
        <x:v>What a true merger model would require</x:v>
      </x:c>
      <x:c r="B22" s="26" t="str">
        <x:v>DH audited segment profits, retention, capex, debt, debt coupon, purchase price allocation, divestiture economics.</x:v>
      </x:c>
    </x:row>
    <x:row r="23" ht="34" customHeight="1">
      <x:c r="A23" t="str">
        <x:v>AV economic risks</x:v>
      </x:c>
      <x:c r="B23" s="26" t="str">
        <x:v>Competition from dedicated fleets; capex / strategic stakes; unit contribution and dispatch economics.</x:v>
      </x:c>
    </x:row>
    <x:row r="24" ht="34" customHeight="1">
      <x:c r="A24" t="str">
        <x:v>Near-term validation</x:v>
      </x:c>
      <x:c r="B24" s="26" t="str">
        <x:v>Nov 4 Q3 earnings; Nov 5 original DH offer acceptance period ends.</x:v>
      </x:c>
    </x:row>
    <x:row r="27" ht="23" customHeight="1">
      <x:c r="A27" s="23" t="str">
        <x:v>INVESTMENT THESIS | FALSIFIABLE MONITORING CHECKLIST</x:v>
      </x:c>
      <x:c r="B27" s="23"/>
      <x:c r="C27" s="23"/>
      <x:c r="D27" s="23"/>
      <x:c r="E27" s="23"/>
      <x:c r="F27" s="23"/>
      <x:c r="G27" s="23"/>
      <x:c r="H27" s="23"/>
    </x:row>
    <x:row r="29" ht="31" customHeight="1">
      <x:c r="A29" s="9" t="str">
        <x:v>Question</x:v>
      </x:c>
      <x:c r="B29" s="62" t="str">
        <x:v>Indicator</x:v>
      </x:c>
      <x:c r="C29" s="62" t="str">
        <x:v>Bearish evidence</x:v>
      </x:c>
    </x:row>
    <x:row r="30" ht="31" customHeight="1">
      <x:c r="A30" t="str">
        <x:v>Demand</x:v>
      </x:c>
      <x:c r="B30" s="26" t="str">
        <x:v>Mobility &amp; Delivery bookings growth</x:v>
      </x:c>
      <x:c r="C30" s="26" t="str">
        <x:v>Sustained growth below low-teens</x:v>
      </x:c>
    </x:row>
    <x:row r="31" ht="31" customHeight="1">
      <x:c r="A31" t="str">
        <x:v>Profitability</x:v>
      </x:c>
      <x:c r="B31" s="26" t="str">
        <x:v>GAAP operating margin and SBC as % bookings</x:v>
      </x:c>
      <x:c r="C31" s="26" t="str">
        <x:v>Margin compression despite trip growth</x:v>
      </x:c>
    </x:row>
    <x:row r="32" ht="31" customHeight="1">
      <x:c r="A32" t="str">
        <x:v>Capital intensity</x:v>
      </x:c>
      <x:c r="B32" s="26" t="str">
        <x:v>AV asset ownership/investment cash uses</x:v>
      </x:c>
      <x:c r="C32" s="26" t="str">
        <x:v>AV capex far exceeds our sub-1% revenue capex proxy</x:v>
      </x:c>
    </x:row>
    <x:row r="33" ht="31" customHeight="1">
      <x:c r="A33" t="str">
        <x:v>Pricing / competition</x:v>
      </x:c>
      <x:c r="B33" s="26" t="str">
        <x:v>Ride incentives and market share</x:v>
      </x:c>
      <x:c r="C33" s="26" t="str">
        <x:v>Waymo/Tesla bypass or heavy discounting</x:v>
      </x:c>
    </x:row>
    <x:row r="34" ht="31" customHeight="1">
      <x:c r="A34" t="str">
        <x:v>Merger</x:v>
      </x:c>
      <x:c r="B34" s="26" t="str">
        <x:v>Delivery Hero regulatory conditions</x:v>
      </x:c>
      <x:c r="C34" s="26" t="str">
        <x:v>Higher debt or delayed close</x:v>
      </x:c>
    </x:row>
    <x:row r="35" ht="31" customHeight="1">
      <x:c r="A35" t="str">
        <x:v>Cash conversion</x:v>
      </x:c>
      <x:c r="B35" s="26" t="str">
        <x:v>Cash flows excluding reserve growth</x:v>
      </x:c>
      <x:c r="C35" s="26" t="str">
        <x:v>Structural reserve release or rising claims burden</x:v>
      </x:c>
    </x:row>
    <x:row r="36" ht="31" customHeight="1">
      <x:c r="A36" t="str">
        <x:v>Quality of reported earnings</x:v>
      </x:c>
      <x:c r="B36" s="26" t="str">
        <x:v>GAAP vs normalized income</x:v>
      </x:c>
      <x:c r="C36" s="26" t="str">
        <x:v>Equity marks/tax releases drive reported earnings</x:v>
      </x:c>
    </x:row>
  </x:sheetData>
  <x:mergeCells>
    <x:mergeCell ref="A1:H2"/>
    <x:mergeCell ref="A4:H4"/>
    <x:mergeCell ref="A17:H17"/>
    <x:mergeCell ref="A27:H27"/>
  </x:mergeCells>
  <x:pageMargins left="0.7" right="0.7" top="0.75" bottom="0.75" header="0.3" footer="0.3"/>
</x:worksheet>
</file>