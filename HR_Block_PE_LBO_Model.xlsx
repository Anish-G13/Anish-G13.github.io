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53ecd9b76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323db65df6d48dd"/>
    <x:sheet xmlns:r="http://schemas.openxmlformats.org/officeDocument/2006/relationships" name="Historical" sheetId="2" r:id="Rc195dce5ee6648f6"/>
    <x:sheet xmlns:r="http://schemas.openxmlformats.org/officeDocument/2006/relationships" name="Assumptions" sheetId="3" r:id="Rd044e98160f64ba5"/>
    <x:sheet xmlns:r="http://schemas.openxmlformats.org/officeDocument/2006/relationships" name="Transaction" sheetId="4" r:id="R568fd71359554d84"/>
    <x:sheet xmlns:r="http://schemas.openxmlformats.org/officeDocument/2006/relationships" name="Downside Case" sheetId="5" r:id="Rb3713dcb74db4e26"/>
    <x:sheet xmlns:r="http://schemas.openxmlformats.org/officeDocument/2006/relationships" name="Base Case" sheetId="6" r:id="R8eac3c6dba69462f"/>
    <x:sheet xmlns:r="http://schemas.openxmlformats.org/officeDocument/2006/relationships" name="Upside Case" sheetId="7" r:id="R97144604ee0440e2"/>
    <x:sheet xmlns:r="http://schemas.openxmlformats.org/officeDocument/2006/relationships" name="Sensitivity" sheetId="8" r:id="Rd721db3f4ca2490b"/>
    <x:sheet xmlns:r="http://schemas.openxmlformats.org/officeDocument/2006/relationships" name="Sources &amp; Notes" sheetId="9" r:id="Rb6e2f6dda91e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%;[Red](0.0%);-"/>
    <x:numFmt numFmtId="202" formatCode="0.0&quot;x&quot;;[Red](0.0&quot;x&quot;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53D"/>
      </x:patternFill>
    </x:fill>
    <x:fill>
      <x:patternFill patternType="solid">
        <x:fgColor rgb="FF0C182B"/>
      </x:patternFill>
    </x:fill>
    <x:fill>
      <x:patternFill patternType="solid">
        <x:fgColor rgb="FFFFF6CC"/>
      </x:patternFill>
    </x:fill>
    <x:fill>
      <x:patternFill patternType="solid">
        <x:fgColor rgb="FFEAF0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200" fontId="0" fillId="3" borderId="1" xfId="0" applyNumberFormat="1" applyFont="1" applyFill="1" applyBorder="1"/>
    <x:xf numFmtId="200" fontId="2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319848f264d0b" /><Relationship Type="http://schemas.openxmlformats.org/officeDocument/2006/relationships/theme" Target="/xl/theme/theme1.xml" Id="R0ed22abd4b3d4da4" /><Relationship Type="http://schemas.openxmlformats.org/officeDocument/2006/relationships/sharedStrings" Target="/xl/sharedStrings.xml" Id="R818d450118b74255" /><Relationship Type="http://schemas.openxmlformats.org/officeDocument/2006/relationships/worksheet" Target="/xl/worksheets/sheet1.xml" Id="R2323db65df6d48dd" /><Relationship Type="http://schemas.openxmlformats.org/officeDocument/2006/relationships/worksheet" Target="/xl/worksheets/sheet2.xml" Id="Rc195dce5ee6648f6" /><Relationship Type="http://schemas.openxmlformats.org/officeDocument/2006/relationships/worksheet" Target="/xl/worksheets/sheet3.xml" Id="Rd044e98160f64ba5" /><Relationship Type="http://schemas.openxmlformats.org/officeDocument/2006/relationships/worksheet" Target="/xl/worksheets/sheet4.xml" Id="R568fd71359554d84" /><Relationship Type="http://schemas.openxmlformats.org/officeDocument/2006/relationships/worksheet" Target="/xl/worksheets/sheet5.xml" Id="Rb3713dcb74db4e26" /><Relationship Type="http://schemas.openxmlformats.org/officeDocument/2006/relationships/worksheet" Target="/xl/worksheets/sheet6.xml" Id="R8eac3c6dba69462f" /><Relationship Type="http://schemas.openxmlformats.org/officeDocument/2006/relationships/worksheet" Target="/xl/worksheets/sheet7.xml" Id="R97144604ee0440e2" /><Relationship Type="http://schemas.openxmlformats.org/officeDocument/2006/relationships/worksheet" Target="/xl/worksheets/sheet8.xml" Id="Rd721db3f4ca2490b" /><Relationship Type="http://schemas.openxmlformats.org/officeDocument/2006/relationships/worksheet" Target="/xl/worksheets/sheet9.xml" Id="Rb6e2f6dda91e45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5" t="str">
        <x:v>H&amp;R BLOCK | PUBLIC-TO-PRIVATE INVESTMENT CASE</x:v>
      </x:c>
      <x:c r="B1" s="5"/>
      <x:c r="C1" s="5"/>
      <x:c r="D1" s="5"/>
      <x:c r="E1" s="5"/>
      <x:c r="F1" s="5"/>
      <x:c r="G1" s="5"/>
      <x:c r="H1" s="5"/>
    </x:row>
    <x:row r="2" ht="23" customHeight="1">
      <x:c r="A2" s="5"/>
      <x:c r="B2" s="5"/>
      <x:c r="C2" s="5"/>
      <x:c r="D2" s="5"/>
      <x:c r="E2" s="5"/>
      <x:c r="F2" s="5"/>
      <x:c r="G2" s="5"/>
      <x:c r="H2" s="5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AS OF 22 OCTOBER 2026  •  HYPOTHETICAL TRANSACTION  •  USD MILLIONS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23" customHeight="1">
      <x:c r="A6" s="9" t="str">
        <x:v>UNDERWRITING SNAPSHOT</x:v>
      </x:c>
      <x:c r="B6" s="9"/>
      <x:c r="C6" s="9"/>
      <x:c r="D6" s="9"/>
      <x:c r="E6" s="9"/>
      <x:c r="F6" s="9"/>
      <x:c r="G6" s="9"/>
      <x:c r="H6" s="9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 t="str">
        <x:v>FY26 revenue ($mm)</x:v>
      </x:c>
      <x:c r="B8" s="2" t="n">
        <x:f>Historical!E5</x:f>
        <x:v>3945.392</x:v>
      </x:c>
      <x:c r="C8" s="2"/>
      <x:c r="D8" s="2"/>
      <x:c r="E8" s="2"/>
      <x:c r="F8" s="2"/>
      <x:c r="G8" s="2"/>
      <x:c r="H8" s="2"/>
    </x:row>
    <x:row r="9">
      <x:c r="A9" s="2" t="str">
        <x:v>FY26 EBITDA ($mm)</x:v>
      </x:c>
      <x:c r="B9" s="2" t="n">
        <x:f>Historical!E9</x:f>
        <x:v>1056.939</x:v>
      </x:c>
      <x:c r="C9" s="2"/>
      <x:c r="D9" s="2"/>
      <x:c r="E9" s="2"/>
      <x:c r="F9" s="2"/>
      <x:c r="G9" s="2"/>
      <x:c r="H9" s="2"/>
    </x:row>
    <x:row r="10">
      <x:c r="A10" s="2" t="str">
        <x:v>Take-private offer / share</x:v>
      </x:c>
      <x:c r="B10" s="2" t="n">
        <x:f>Transaction!B8</x:f>
        <x:v>62.599999999999994</x:v>
      </x:c>
      <x:c r="C10" s="2"/>
      <x:c r="D10" s="2"/>
      <x:c r="E10" s="2"/>
      <x:c r="F10" s="2"/>
      <x:c r="G10" s="2"/>
      <x:c r="H10" s="2"/>
    </x:row>
    <x:row r="11">
      <x:c r="A11" s="2" t="str">
        <x:v>Implied entry EV / EBITDA</x:v>
      </x:c>
      <x:c r="B11" s="14" t="n">
        <x:f>Transaction!B14</x:f>
        <x:v>7.805075789615104</x:v>
      </x:c>
      <x:c r="C11" s="2"/>
      <x:c r="D11" s="2"/>
      <x:c r="E11" s="2"/>
      <x:c r="F11" s="2"/>
      <x:c r="G11" s="2"/>
      <x:c r="H11" s="2"/>
    </x:row>
    <x:row r="12">
      <x:c r="A12" s="2" t="str">
        <x:v>Total new debt / EBITDA</x:v>
      </x:c>
      <x:c r="B12" s="14" t="n">
        <x:f>Transaction!B40</x:f>
        <x:v>4.5</x:v>
      </x:c>
      <x:c r="C12" s="2"/>
      <x:c r="D12" s="2"/>
      <x:c r="E12" s="2"/>
      <x:c r="F12" s="2"/>
      <x:c r="G12" s="2"/>
      <x:c r="H12" s="2"/>
    </x:row>
    <x:row r="13">
      <x:c r="A13" s="2" t="str">
        <x:v>Sponsor equity contribution</x:v>
      </x:c>
      <x:c r="B13" s="2" t="n">
        <x:f>Transaction!B35</x:f>
        <x:v>4212.130345</x:v>
      </x:c>
      <x:c r="C13" s="2"/>
      <x:c r="D13" s="2"/>
      <x:c r="E13" s="2"/>
      <x:c r="F13" s="2"/>
      <x:c r="G13" s="2"/>
      <x:c r="H13" s="2"/>
    </x:row>
    <x:row r="14">
      <x:c r="A14" s="2" t="str">
        <x:v>Base return hurdle</x:v>
      </x:c>
      <x:c r="B14" s="12" t="n">
        <x:f>Assumptions!B22</x:f>
        <x:v>0.2</x:v>
      </x:c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23" customHeight="1">
      <x:c r="A17" s="9" t="str">
        <x:v>FIVE-YEAR INVESTMENT OUTCOMES</x:v>
      </x:c>
      <x:c r="B17" s="9"/>
      <x:c r="C17" s="9"/>
      <x:c r="D17" s="9"/>
      <x:c r="E17" s="9"/>
      <x:c r="F17" s="9"/>
      <x:c r="G17" s="9"/>
      <x:c r="H17" s="9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 t="str">
        <x:v>Downside</x:v>
      </x:c>
      <x:c r="C19" s="2" t="str">
        <x:v>Base</x:v>
      </x:c>
      <x:c r="D19" s="2" t="str">
        <x:v>Upside</x:v>
      </x:c>
      <x:c r="E19" s="2"/>
      <x:c r="F19" s="2"/>
      <x:c r="G19" s="2"/>
      <x:c r="H19" s="2"/>
    </x:row>
    <x:row r="20">
      <x:c r="A20" s="2" t="str">
        <x:v>2031 EBITDA ($mm)</x:v>
      </x:c>
      <x:c r="B20" s="2" t="n">
        <x:f>'Downside Case'!H9</x:f>
        <x:v>1067.8641504913214</x:v>
      </x:c>
      <x:c r="C20" s="2" t="n">
        <x:f>'Base Case'!H9</x:f>
        <x:v>1364.1369710592003</x:v>
      </x:c>
      <x:c r="D20" s="2" t="n">
        <x:f>'Upside Case'!H9</x:f>
        <x:v>1591.4187961647783</x:v>
      </x:c>
      <x:c r="E20" s="2"/>
      <x:c r="F20" s="2"/>
      <x:c r="G20" s="2"/>
      <x:c r="H20" s="2"/>
    </x:row>
    <x:row r="21">
      <x:c r="A21" s="2" t="str">
        <x:v>2031 remaining debt</x:v>
      </x:c>
      <x:c r="B21" s="2" t="n">
        <x:f>'Downside Case'!H28</x:f>
        <x:v>2769.6257828967105</x:v>
      </x:c>
      <x:c r="C21" s="2" t="n">
        <x:f>'Base Case'!H28</x:f>
        <x:v>2212.8058957456187</x:v>
      </x:c>
      <x:c r="D21" s="2" t="n">
        <x:f>'Upside Case'!H28</x:f>
        <x:v>1810.9753086736066</x:v>
      </x:c>
      <x:c r="E21" s="2"/>
      <x:c r="F21" s="2"/>
      <x:c r="G21" s="2"/>
      <x:c r="H21" s="2"/>
    </x:row>
    <x:row r="22">
      <x:c r="A22" s="2" t="str">
        <x:v>2031 cash</x:v>
      </x:c>
      <x:c r="B22" s="2" t="n">
        <x:f>'Downside Case'!H31</x:f>
        <x:v>957.0147167758223</x:v>
      </x:c>
      <x:c r="C22" s="2" t="n">
        <x:f>'Base Case'!H31</x:f>
        <x:v>1096.219688563595</x:v>
      </x:c>
      <x:c r="D22" s="2" t="n">
        <x:f>'Upside Case'!H31</x:f>
        <x:v>1196.677335331598</x:v>
      </x:c>
      <x:c r="E22" s="2"/>
      <x:c r="F22" s="2"/>
      <x:c r="G22" s="2"/>
      <x:c r="H22" s="2"/>
    </x:row>
    <x:row r="23">
      <x:c r="A23" s="2" t="str">
        <x:v>Exit sponsor equity</x:v>
      </x:c>
      <x:c r="B23" s="2" t="n">
        <x:f>'Downside Case'!H39</x:f>
        <x:v>4594.573836827041</x:v>
      </x:c>
      <x:c r="C23" s="2" t="n">
        <x:f>'Base Case'!H39</x:f>
        <x:v>9114.441075761977</x:v>
      </x:c>
      <x:c r="D23" s="2" t="n">
        <x:f>'Upside Case'!H39</x:f>
        <x:v>13708.471192140996</x:v>
      </x:c>
      <x:c r="E23" s="2"/>
      <x:c r="F23" s="2"/>
      <x:c r="G23" s="2"/>
      <x:c r="H23" s="2"/>
    </x:row>
    <x:row r="24">
      <x:c r="A24" s="2" t="str">
        <x:v>Gross MOIC</x:v>
      </x:c>
      <x:c r="B24" s="14" t="n">
        <x:f>'Downside Case'!H41</x:f>
        <x:v>1.090795740041858</x:v>
      </x:c>
      <x:c r="C24" s="14" t="n">
        <x:f>'Base Case'!H41</x:f>
        <x:v>2.163855419759565</x:v>
      </x:c>
      <x:c r="D24" s="14" t="n">
        <x:f>'Upside Case'!H41</x:f>
        <x:v>3.2545220753706277</x:v>
      </x:c>
      <x:c r="E24" s="2"/>
      <x:c r="F24" s="2"/>
      <x:c r="G24" s="2"/>
      <x:c r="H24" s="2"/>
    </x:row>
    <x:row r="25">
      <x:c r="A25" s="2" t="str">
        <x:v>Gross IRR</x:v>
      </x:c>
      <x:c r="B25" s="12" t="n">
        <x:f>'Downside Case'!H42</x:f>
        <x:v>0.017533430502812086</x:v>
      </x:c>
      <x:c r="C25" s="12" t="n">
        <x:f>'Base Case'!H42</x:f>
        <x:v>0.1669322647715863</x:v>
      </x:c>
      <x:c r="D25" s="12" t="n">
        <x:f>'Upside Case'!H42</x:f>
        <x:v>0.2661858164609934</x:v>
      </x:c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 t="str">
        <x:v>Investment committee screen</x:v>
      </x:c>
      <x:c r="B28" s="2" t="str">
        <x:f>IF(C25&lt;Assumptions!B22,"PASS — BELOW HURDLE","PROCEED TO DILIGENCE")</x:f>
        <x:v>PASS — BELOW HURDLE</x:v>
      </x:c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 t="str">
        <x:v>Key rationale: stable cash flow and modest capital intensity, but acquisition premium + borrowing cost impair risk-adjusted returns.</x:v>
      </x:c>
      <x:c r="B30" s="2"/>
      <x:c r="C30" s="2"/>
      <x:c r="D30" s="2"/>
      <x:c r="E30" s="2"/>
      <x:c r="F30" s="2"/>
      <x:c r="G30" s="2"/>
      <x:c r="H30" s="2"/>
    </x:row>
    <x:row r="31">
      <x:c r="A31" s="2" t="str">
        <x:v>Key unresolved diligence: seasonal liquidity, tax policy, client retention, automation/AI, senior debt terms, cash accessibility.</x:v>
      </x:c>
      <x:c r="B31" s="2"/>
      <x:c r="C31" s="2"/>
      <x:c r="D31" s="2"/>
      <x:c r="E31" s="2"/>
      <x:c r="F31" s="2"/>
      <x:c r="G31" s="2"/>
      <x:c r="H31" s="2"/>
    </x:row>
    <x:row r="32">
      <x:c r="A32" s="2" t="str">
        <x:v>This is a research case, not a live bid. All forecasts, financing rates, multiples and deal terms are illustrative.</x:v>
      </x:c>
      <x:c r="B32" s="2"/>
      <x:c r="C32" s="2"/>
      <x:c r="D32" s="2"/>
      <x:c r="E32" s="2"/>
      <x:c r="F32" s="2"/>
      <x:c r="G32" s="2"/>
      <x:c r="H32" s="2"/>
    </x:row>
  </x:sheetData>
  <x:mergeCells>
    <x:mergeCell ref="A1:H2"/>
    <x:mergeCell ref="A6:H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5" t="str">
        <x:v>H&amp;R BLOCK | REPORTED FINANCIALS ($ MILLIONS)</x:v>
      </x:c>
      <x:c r="B1" s="5"/>
      <x:c r="C1" s="5"/>
      <x:c r="D1" s="5"/>
      <x:c r="E1" s="5"/>
      <x:c r="F1" s="5"/>
      <x:c r="G1" s="5"/>
      <x:c r="H1" s="2"/>
    </x:row>
    <x:row r="2" ht="23" customHeight="1">
      <x:c r="A2" s="5"/>
      <x:c r="B2" s="5"/>
      <x:c r="C2" s="5"/>
      <x:c r="D2" s="5"/>
      <x:c r="E2" s="5"/>
      <x:c r="F2" s="5"/>
      <x:c r="G2" s="5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 t="str">
        <x:v>FY2024</x:v>
      </x:c>
      <x:c r="D4" s="2" t="str">
        <x:v>FY2025</x:v>
      </x:c>
      <x:c r="E4" s="2" t="str">
        <x:v>FY2026</x:v>
      </x:c>
      <x:c r="F4" s="2"/>
      <x:c r="G4" s="2"/>
      <x:c r="H4" s="2"/>
    </x:row>
    <x:row r="5">
      <x:c r="A5" s="2" t="str">
        <x:v>Revenue</x:v>
      </x:c>
      <x:c r="B5" s="2"/>
      <x:c r="C5" s="2" t="n">
        <x:v>3610.347</x:v>
      </x:c>
      <x:c r="D5" s="2" t="n">
        <x:v>3760.995</x:v>
      </x:c>
      <x:c r="E5" s="2" t="n">
        <x:v>3945.392</x:v>
      </x:c>
      <x:c r="F5" s="2"/>
      <x:c r="G5" s="2"/>
      <x:c r="H5" s="2"/>
    </x:row>
    <x:row r="6">
      <x:c r="A6" s="2" t="str">
        <x:v>YoY revenue growth</x:v>
      </x:c>
      <x:c r="B6" s="2"/>
      <x:c r="C6" s="2"/>
      <x:c r="D6" s="12" t="n">
        <x:f>D5/C5-1</x:f>
        <x:v>0.04172673706987151</x:v>
      </x:c>
      <x:c r="E6" s="12" t="n">
        <x:f>E5/D5-1</x:f>
        <x:v>0.049028780947594885</x:v>
      </x:c>
      <x:c r="F6" s="2"/>
      <x:c r="G6" s="2"/>
      <x:c r="H6" s="2"/>
    </x:row>
    <x:row r="7">
      <x:c r="A7" s="2" t="str">
        <x:v>Operating income</x:v>
      </x:c>
      <x:c r="B7" s="2"/>
      <x:c r="C7" s="2" t="n">
        <x:v>805.277</x:v>
      </x:c>
      <x:c r="D7" s="2" t="n">
        <x:v>827.97</x:v>
      </x:c>
      <x:c r="E7" s="2" t="n">
        <x:v>907.686</x:v>
      </x:c>
      <x:c r="F7" s="2"/>
      <x:c r="G7" s="2"/>
      <x:c r="H7" s="2"/>
    </x:row>
    <x:row r="8">
      <x:c r="A8" s="2" t="str">
        <x:v>Depreciation &amp; amortization</x:v>
      </x:c>
      <x:c r="B8" s="2"/>
      <x:c r="C8" s="2" t="n">
        <x:v>121.784</x:v>
      </x:c>
      <x:c r="D8" s="2" t="n">
        <x:v>116.827</x:v>
      </x:c>
      <x:c r="E8" s="2" t="n">
        <x:v>122.44</x:v>
      </x:c>
      <x:c r="F8" s="2"/>
      <x:c r="G8" s="2"/>
      <x:c r="H8" s="2"/>
    </x:row>
    <x:row r="9">
      <x:c r="A9" s="2" t="str">
        <x:v>EBITDA from continuing operations</x:v>
      </x:c>
      <x:c r="B9" s="2"/>
      <x:c r="C9" s="2" t="n">
        <x:v>963.186</x:v>
      </x:c>
      <x:c r="D9" s="2" t="n">
        <x:v>976.343</x:v>
      </x:c>
      <x:c r="E9" s="2" t="n">
        <x:v>1056.939</x:v>
      </x:c>
      <x:c r="F9" s="2"/>
      <x:c r="G9" s="2"/>
      <x:c r="H9" s="2"/>
    </x:row>
    <x:row r="10">
      <x:c r="A10" s="2" t="str">
        <x:v>EBITDA margin</x:v>
      </x:c>
      <x:c r="B10" s="2"/>
      <x:c r="C10" s="12" t="n">
        <x:f>C9/C5</x:f>
        <x:v>0.26678488245035725</x:v>
      </x:c>
      <x:c r="D10" s="12" t="n">
        <x:f>D9/D5</x:f>
        <x:v>0.25959699494415706</x:v>
      </x:c>
      <x:c r="E10" s="12" t="n">
        <x:f>E9/E5</x:f>
        <x:v>0.2678920117443337</x:v>
      </x:c>
      <x:c r="F10" s="2"/>
      <x:c r="G10" s="2"/>
      <x:c r="H10" s="2"/>
    </x:row>
    <x:row r="11">
      <x:c r="A11" s="2" t="str">
        <x:v>Cash from operations</x:v>
      </x:c>
      <x:c r="B11" s="2"/>
      <x:c r="C11" s="2" t="n">
        <x:v>720.86</x:v>
      </x:c>
      <x:c r="D11" s="2" t="n">
        <x:v>680.883</x:v>
      </x:c>
      <x:c r="E11" s="2" t="n">
        <x:v>838.695</x:v>
      </x:c>
      <x:c r="F11" s="2"/>
      <x:c r="G11" s="2"/>
      <x:c r="H11" s="2"/>
    </x:row>
    <x:row r="12">
      <x:c r="A12" s="2" t="str">
        <x:v>Capital expenditures</x:v>
      </x:c>
      <x:c r="B12" s="2"/>
      <x:c r="C12" s="2" t="n">
        <x:v>63.678</x:v>
      </x:c>
      <x:c r="D12" s="2" t="n">
        <x:v>82.034</x:v>
      </x:c>
      <x:c r="E12" s="2" t="n">
        <x:v>82.614</x:v>
      </x:c>
      <x:c r="F12" s="2"/>
      <x:c r="G12" s="2"/>
      <x:c r="H12" s="2"/>
    </x:row>
    <x:row r="13">
      <x:c r="A13" s="2" t="str">
        <x:v>Free cash flow (CFO - capex)</x:v>
      </x:c>
      <x:c r="B13" s="2"/>
      <x:c r="C13" s="2" t="n">
        <x:f>C11-C12</x:f>
        <x:v>657.182</x:v>
      </x:c>
      <x:c r="D13" s="2" t="n">
        <x:f>D11-D12</x:f>
        <x:v>598.849</x:v>
      </x:c>
      <x:c r="E13" s="2" t="n">
        <x:f>E11-E12</x:f>
        <x:v>756.081</x:v>
      </x:c>
      <x:c r="F13" s="2"/>
      <x:c r="G13" s="2"/>
      <x:c r="H13" s="2"/>
    </x:row>
    <x:row r="14">
      <x:c r="A14" s="2" t="str">
        <x:v>FCF / EBITDA</x:v>
      </x:c>
      <x:c r="B14" s="2"/>
      <x:c r="C14" s="12" t="n">
        <x:f>C13/C9</x:f>
        <x:v>0.6823001995460898</x:v>
      </x:c>
      <x:c r="D14" s="12" t="n">
        <x:f>D13/D9</x:f>
        <x:v>0.6133592395295506</x:v>
      </x:c>
      <x:c r="E14" s="12" t="n">
        <x:f>E13/E9</x:f>
        <x:v>0.7153497032468288</x:v>
      </x:c>
      <x:c r="F14" s="2"/>
      <x:c r="G14" s="2"/>
      <x:c r="H14" s="2"/>
    </x:row>
    <x:row r="15">
      <x:c r="A15" s="2" t="str">
        <x:v>Unrestricted cash</x:v>
      </x:c>
      <x:c r="B15" s="2"/>
      <x:c r="C15" s="2"/>
      <x:c r="D15" s="2" t="n">
        <x:v>983.277</x:v>
      </x:c>
      <x:c r="E15" s="2" t="n">
        <x:v>958.706</x:v>
      </x:c>
      <x:c r="F15" s="2"/>
      <x:c r="G15" s="2"/>
      <x:c r="H15" s="2"/>
    </x:row>
    <x:row r="16">
      <x:c r="A16" s="2" t="str">
        <x:v>Financial debt</x:v>
      </x:c>
      <x:c r="B16" s="2"/>
      <x:c r="C16" s="2"/>
      <x:c r="D16" s="2" t="n">
        <x:v>1493.198</x:v>
      </x:c>
      <x:c r="E16" s="2" t="n">
        <x:v>1491.493</x:v>
      </x:c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 ht="23" customHeight="1">
      <x:c r="A18" s="9" t="str">
        <x:v>SOURCES AND ACCOUNTING NOTES</x:v>
      </x:c>
      <x:c r="B18" s="9"/>
      <x:c r="C18" s="9"/>
      <x:c r="D18" s="9"/>
      <x:c r="E18" s="9"/>
      <x:c r="F18" s="9"/>
      <x:c r="G18" s="9"/>
      <x:c r="H18" s="2"/>
    </x:row>
    <x:row r="19">
      <x:c r="A19" s="2" t="str">
        <x:v>H&amp;R Block FY2026 10-K; amounts converted from $000s to $mm.</x:v>
      </x:c>
      <x:c r="B19" s="2"/>
      <x:c r="C19" s="2"/>
      <x:c r="D19" s="2"/>
      <x:c r="E19" s="2"/>
      <x:c r="F19" s="2"/>
      <x:c r="G19" s="2"/>
      <x:c r="H19" s="2"/>
    </x:row>
    <x:row r="20">
      <x:c r="A20" s="2" t="str">
        <x:v>FY2024 EBITDA = continuing operations net income + income taxes + interest + D&amp;A.</x:v>
      </x:c>
      <x:c r="B20" s="2"/>
      <x:c r="C20" s="2"/>
      <x:c r="D20" s="2"/>
      <x:c r="E20" s="2"/>
      <x:c r="F20" s="2"/>
      <x:c r="G20" s="2"/>
      <x:c r="H20" s="2"/>
    </x:row>
    <x:row r="21">
      <x:c r="A21" s="2" t="str">
        <x:v>FY2025 / FY2026 EBITDA reconciles to the company disclosed non-GAAP EBITDA.</x:v>
      </x:c>
      <x:c r="B21" s="2"/>
      <x:c r="C21" s="2"/>
      <x:c r="D21" s="2"/>
      <x:c r="E21" s="2"/>
      <x:c r="F21" s="2"/>
      <x:c r="G21" s="2"/>
      <x:c r="H21" s="2"/>
    </x:row>
    <x:row r="22">
      <x:c r="A22" s="2" t="str">
        <x:v>FY2025 FY2026 financial debt excludes operating leases.</x:v>
      </x:c>
      <x:c r="B22" s="2"/>
      <x:c r="C22" s="2"/>
      <x:c r="D22" s="2"/>
      <x:c r="E22" s="2"/>
      <x:c r="F22" s="2"/>
      <x:c r="G22" s="2"/>
      <x:c r="H22" s="2"/>
    </x:row>
    <x:row r="23">
      <x:c r="A23" s="2" t="str">
        <x:v>Annual cash flow is highly seasonal; June cash is not equivalent to free cash throughout the tax year.</x:v>
      </x:c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 t="str">
        <x:v>https://www.sec.gov/Archives/edgar/data/12659/000001265926000026/hrb-20260630.htm</x:v>
      </x:c>
      <x:c r="B25" s="2"/>
      <x:c r="C25" s="2"/>
      <x:c r="D25" s="2"/>
      <x:c r="E25" s="2"/>
      <x:c r="F25" s="2"/>
      <x:c r="G25" s="2"/>
      <x:c r="H25" s="2"/>
    </x:row>
  </x:sheetData>
  <x:mergeCells>
    <x:mergeCell ref="A1:G2"/>
    <x:mergeCell ref="A18:G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5" t="str">
        <x:v>DEAL &amp; SCENARIO INPUTS | BLUE = EDITABLE</x:v>
      </x:c>
      <x:c r="B1" s="5"/>
      <x:c r="C1" s="5"/>
      <x:c r="D1" s="5"/>
      <x:c r="E1" s="5"/>
      <x:c r="F1" s="5"/>
      <x:c r="G1" s="2"/>
      <x:c r="H1" s="2"/>
    </x:row>
    <x:row r="2" ht="23" customHeight="1">
      <x:c r="A2" s="5"/>
      <x:c r="B2" s="5"/>
      <x:c r="C2" s="5"/>
      <x:c r="D2" s="5"/>
      <x:c r="E2" s="5"/>
      <x:c r="F2" s="5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9" t="str">
        <x:v>TRANSACTION AND FINANCING</x:v>
      </x:c>
      <x:c r="B4" s="9"/>
      <x:c r="C4" s="9"/>
      <x:c r="D4" s="9"/>
      <x:c r="E4" s="9"/>
      <x:c r="F4" s="9"/>
      <x:c r="G4" s="2"/>
      <x:c r="H4" s="2"/>
    </x:row>
    <x:row r="5">
      <x:c r="A5" s="2" t="str">
        <x:v>HRB 22 Oct 2026 share price ($)</x:v>
      </x:c>
      <x:c r="B5" s="18" t="n">
        <x:v>50.08</x:v>
      </x:c>
      <x:c r="C5" s="2"/>
      <x:c r="D5" s="2"/>
      <x:c r="E5" s="2"/>
      <x:c r="F5" s="2"/>
      <x:c r="G5" s="2"/>
      <x:c r="H5" s="2"/>
    </x:row>
    <x:row r="6">
      <x:c r="A6" s="2" t="str">
        <x:v>Shares outstanding (mm; valuation proxy)</x:v>
      </x:c>
      <x:c r="B6" s="18" t="n">
        <x:v>123.27</x:v>
      </x:c>
      <x:c r="C6" s="2"/>
      <x:c r="D6" s="2"/>
      <x:c r="E6" s="2"/>
      <x:c r="F6" s="2"/>
      <x:c r="G6" s="2"/>
      <x:c r="H6" s="2"/>
    </x:row>
    <x:row r="7">
      <x:c r="A7" s="2" t="str">
        <x:v>Take-private equity premium</x:v>
      </x:c>
      <x:c r="B7" s="20" t="n">
        <x:v>0.25</x:v>
      </x:c>
      <x:c r="C7" s="2"/>
      <x:c r="D7" s="2"/>
      <x:c r="E7" s="2"/>
      <x:c r="F7" s="2"/>
      <x:c r="G7" s="2"/>
      <x:c r="H7" s="2"/>
    </x:row>
    <x:row r="8">
      <x:c r="A8" s="2" t="str">
        <x:v>Advisory and transaction fees / EV</x:v>
      </x:c>
      <x:c r="B8" s="20" t="n">
        <x:v>0.015</x:v>
      </x:c>
      <x:c r="C8" s="2"/>
      <x:c r="D8" s="2"/>
      <x:c r="E8" s="2"/>
      <x:c r="F8" s="2"/>
      <x:c r="G8" s="2"/>
      <x:c r="H8" s="2"/>
    </x:row>
    <x:row r="9">
      <x:c r="A9" s="2" t="str">
        <x:v>Financing fees / new debt</x:v>
      </x:c>
      <x:c r="B9" s="20" t="n">
        <x:v>0.02</x:v>
      </x:c>
      <x:c r="C9" s="2"/>
      <x:c r="D9" s="2"/>
      <x:c r="E9" s="2"/>
      <x:c r="F9" s="2"/>
      <x:c r="G9" s="2"/>
      <x:c r="H9" s="2"/>
    </x:row>
    <x:row r="10">
      <x:c r="A10" s="2" t="str">
        <x:v>First-lien term loan / FY26 EBITDA</x:v>
      </x:c>
      <x:c r="B10" s="22" t="n">
        <x:v>3</x:v>
      </x:c>
      <x:c r="C10" s="2"/>
      <x:c r="D10" s="2"/>
      <x:c r="E10" s="2"/>
      <x:c r="F10" s="2"/>
      <x:c r="G10" s="2"/>
      <x:c r="H10" s="2"/>
    </x:row>
    <x:row r="11">
      <x:c r="A11" s="2" t="str">
        <x:v>Senior notes / FY26 EBITDA</x:v>
      </x:c>
      <x:c r="B11" s="22" t="n">
        <x:v>1.5</x:v>
      </x:c>
      <x:c r="C11" s="2"/>
      <x:c r="D11" s="2"/>
      <x:c r="E11" s="2"/>
      <x:c r="F11" s="2"/>
      <x:c r="G11" s="2"/>
      <x:c r="H11" s="2"/>
    </x:row>
    <x:row r="12">
      <x:c r="A12" s="2" t="str">
        <x:v>Term loan cash interest rate</x:v>
      </x:c>
      <x:c r="B12" s="20" t="n">
        <x:v>0.085</x:v>
      </x:c>
      <x:c r="C12" s="2"/>
      <x:c r="D12" s="2"/>
      <x:c r="E12" s="2"/>
      <x:c r="F12" s="2"/>
      <x:c r="G12" s="2"/>
      <x:c r="H12" s="2"/>
    </x:row>
    <x:row r="13">
      <x:c r="A13" s="2" t="str">
        <x:v>Senior notes cash coupon</x:v>
      </x:c>
      <x:c r="B13" s="20" t="n">
        <x:v>0.095</x:v>
      </x:c>
      <x:c r="C13" s="2"/>
      <x:c r="D13" s="2"/>
      <x:c r="E13" s="2"/>
      <x:c r="F13" s="2"/>
      <x:c r="G13" s="2"/>
      <x:c r="H13" s="2"/>
    </x:row>
    <x:row r="14">
      <x:c r="A14" s="2" t="str">
        <x:v>Scheduled term amortization / original</x:v>
      </x:c>
      <x:c r="B14" s="20" t="n">
        <x:v>0.01</x:v>
      </x:c>
      <x:c r="C14" s="2"/>
      <x:c r="D14" s="2"/>
      <x:c r="E14" s="2"/>
      <x:c r="F14" s="2"/>
      <x:c r="G14" s="2"/>
      <x:c r="H14" s="2"/>
    </x:row>
    <x:row r="15">
      <x:c r="A15" s="2" t="str">
        <x:v>Excess FCF term loan sweep</x:v>
      </x:c>
      <x:c r="B15" s="20" t="n">
        <x:v>0.8</x:v>
      </x:c>
      <x:c r="C15" s="2"/>
      <x:c r="D15" s="2"/>
      <x:c r="E15" s="2"/>
      <x:c r="F15" s="2"/>
      <x:c r="G15" s="2"/>
      <x:c r="H15" s="2"/>
    </x:row>
    <x:row r="16">
      <x:c r="A16" s="2" t="str">
        <x:v>Minimum year-end operating cash ($mm)</x:v>
      </x:c>
      <x:c r="B16" s="18" t="n">
        <x:v>500</x:v>
      </x:c>
      <x:c r="C16" s="2"/>
      <x:c r="D16" s="2"/>
      <x:c r="E16" s="2"/>
      <x:c r="F16" s="2"/>
      <x:c r="G16" s="2"/>
      <x:c r="H16" s="2"/>
    </x:row>
    <x:row r="17">
      <x:c r="A17" s="2" t="str">
        <x:v>Normalized cash tax rate</x:v>
      </x:c>
      <x:c r="B17" s="20" t="n">
        <x:v>0.23</x:v>
      </x:c>
      <x:c r="C17" s="2"/>
      <x:c r="D17" s="2"/>
      <x:c r="E17" s="2"/>
      <x:c r="F17" s="2"/>
      <x:c r="G17" s="2"/>
      <x:c r="H17" s="2"/>
    </x:row>
    <x:row r="18">
      <x:c r="A18" s="2" t="str">
        <x:v>D&amp;A / revenue</x:v>
      </x:c>
      <x:c r="B18" s="20" t="n">
        <x:v>0.031</x:v>
      </x:c>
      <x:c r="C18" s="2"/>
      <x:c r="D18" s="2"/>
      <x:c r="E18" s="2"/>
      <x:c r="F18" s="2"/>
      <x:c r="G18" s="2"/>
      <x:c r="H18" s="2"/>
    </x:row>
    <x:row r="19">
      <x:c r="A19" s="2" t="str">
        <x:v>Capital expenditure / revenue</x:v>
      </x:c>
      <x:c r="B19" s="20" t="n">
        <x:v>0.021</x:v>
      </x:c>
      <x:c r="C19" s="2"/>
      <x:c r="D19" s="2"/>
      <x:c r="E19" s="2"/>
      <x:c r="F19" s="2"/>
      <x:c r="G19" s="2"/>
      <x:c r="H19" s="2"/>
    </x:row>
    <x:row r="20">
      <x:c r="A20" s="2" t="str">
        <x:v>Incremental net working-capital investment</x:v>
      </x:c>
      <x:c r="B20" s="20" t="n">
        <x:v>0.015</x:v>
      </x:c>
      <x:c r="C20" s="2"/>
      <x:c r="D20" s="2"/>
      <x:c r="E20" s="2"/>
      <x:c r="F20" s="2"/>
      <x:c r="G20" s="2"/>
      <x:c r="H20" s="2"/>
    </x:row>
    <x:row r="21">
      <x:c r="A21" s="2" t="str">
        <x:v>Sponsor holding period (years)</x:v>
      </x:c>
      <x:c r="B21" s="18" t="n">
        <x:v>5</x:v>
      </x:c>
      <x:c r="C21" s="2"/>
      <x:c r="D21" s="2"/>
      <x:c r="E21" s="2"/>
      <x:c r="F21" s="2"/>
      <x:c r="G21" s="2"/>
      <x:c r="H21" s="2"/>
    </x:row>
    <x:row r="22">
      <x:c r="A22" s="2" t="str">
        <x:v>Required gross sponsor IRR</x:v>
      </x:c>
      <x:c r="B22" s="20" t="n">
        <x:v>0.2</x:v>
      </x:c>
      <x:c r="C22" s="2"/>
      <x:c r="D22" s="2"/>
      <x:c r="E22" s="2"/>
      <x:c r="F22" s="2"/>
      <x:c r="G22" s="2"/>
      <x:c r="H22" s="2"/>
    </x:row>
    <x:row r="23">
      <x:c r="A23" s="2" t="str">
        <x:v>FY2026 EBITDA ($mm)</x:v>
      </x:c>
      <x:c r="B23" s="2" t="n">
        <x:f>Historical!E9</x:f>
        <x:v>1056.939</x:v>
      </x:c>
      <x:c r="C23" s="2"/>
      <x:c r="D23" s="2"/>
      <x:c r="E23" s="2"/>
      <x:c r="F23" s="2"/>
      <x:c r="G23" s="2"/>
      <x:c r="H23" s="2"/>
    </x:row>
    <x:row r="24">
      <x:c r="A24" s="2" t="str">
        <x:v>FY2026 existing financial debt ($mm)</x:v>
      </x:c>
      <x:c r="B24" s="2" t="n">
        <x:f>Historical!E16</x:f>
        <x:v>1491.493</x:v>
      </x:c>
      <x:c r="C24" s="2"/>
      <x:c r="D24" s="2"/>
      <x:c r="E24" s="2"/>
      <x:c r="F24" s="2"/>
      <x:c r="G24" s="2"/>
      <x:c r="H24" s="2"/>
    </x:row>
    <x:row r="25">
      <x:c r="A25" s="2" t="str">
        <x:v>FY2026 reported unrestricted cash ($mm)</x:v>
      </x:c>
      <x:c r="B25" s="2" t="n">
        <x:f>Historical!E15</x:f>
        <x:v>958.706</x:v>
      </x:c>
      <x:c r="C25" s="2"/>
      <x:c r="D25" s="2"/>
      <x:c r="E25" s="2"/>
      <x:c r="F25" s="2"/>
      <x:c r="G25" s="2"/>
      <x:c r="H25" s="2"/>
    </x:row>
    <x:row r="26">
      <x:c r="A26" s="2" t="str">
        <x:v>FY2026 revenue ($mm)</x:v>
      </x:c>
      <x:c r="B26" s="2" t="n">
        <x:f>Historical!E5</x:f>
        <x:v>3945.392</x:v>
      </x:c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9" t="str">
        <x:v>OPERATING SCENARIOS | ASSUMPTIONS, NOT GUIDANCE</x:v>
      </x:c>
      <x:c r="B29" s="9"/>
      <x:c r="C29" s="9"/>
      <x:c r="D29" s="9"/>
      <x:c r="E29" s="9"/>
      <x:c r="F29" s="9"/>
      <x:c r="G29" s="2"/>
      <x:c r="H29" s="2"/>
    </x:row>
    <x:row r="30">
      <x:c r="A30" s="2"/>
      <x:c r="B30" s="2" t="str">
        <x:v>Downside</x:v>
      </x:c>
      <x:c r="C30" s="2" t="str">
        <x:v>Base</x:v>
      </x:c>
      <x:c r="D30" s="2" t="str">
        <x:v>Upside</x:v>
      </x:c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 t="str">
        <x:v>2031 exit EV / EBITDA</x:v>
      </x:c>
      <x:c r="B32" s="26" t="n">
        <x:v>6</x:v>
      </x:c>
      <x:c r="C32" s="26" t="n">
        <x:v>7.5</x:v>
      </x:c>
      <x:c r="D32" s="26" t="n">
        <x:v>9</x:v>
      </x:c>
      <x:c r="E32" s="2"/>
      <x:c r="F32" s="2"/>
      <x:c r="G32" s="2"/>
      <x:c r="H32" s="2"/>
    </x:row>
    <x:row r="33">
      <x:c r="A33" s="2" t="str">
        <x:v>FY2027 revenue growth</x:v>
      </x:c>
      <x:c r="B33" s="24" t="n">
        <x:v>0.02</x:v>
      </x:c>
      <x:c r="C33" s="24" t="n">
        <x:v>0.048058089031457474</x:v>
      </x:c>
      <x:c r="D33" s="24" t="n">
        <x:v>0.06</x:v>
      </x:c>
      <x:c r="E33" s="2"/>
      <x:c r="F33" s="2"/>
      <x:c r="G33" s="2"/>
      <x:c r="H33" s="2"/>
    </x:row>
    <x:row r="34">
      <x:c r="A34" s="2" t="str">
        <x:v>FY2028 revenue growth</x:v>
      </x:c>
      <x:c r="B34" s="24" t="n">
        <x:v>0.01</x:v>
      </x:c>
      <x:c r="C34" s="24" t="n">
        <x:v>0.04</x:v>
      </x:c>
      <x:c r="D34" s="24" t="n">
        <x:v>0.065</x:v>
      </x:c>
      <x:c r="E34" s="2"/>
      <x:c r="F34" s="2"/>
      <x:c r="G34" s="2"/>
      <x:c r="H34" s="2"/>
    </x:row>
    <x:row r="35">
      <x:c r="A35" s="2" t="str">
        <x:v>FY2029 revenue growth</x:v>
      </x:c>
      <x:c r="B35" s="24" t="n">
        <x:v>0.01</x:v>
      </x:c>
      <x:c r="C35" s="24" t="n">
        <x:v>0.04</x:v>
      </x:c>
      <x:c r="D35" s="24" t="n">
        <x:v>0.06</x:v>
      </x:c>
      <x:c r="E35" s="2"/>
      <x:c r="F35" s="2"/>
      <x:c r="G35" s="2"/>
      <x:c r="H35" s="2"/>
    </x:row>
    <x:row r="36">
      <x:c r="A36" s="2" t="str">
        <x:v>FY2030 revenue growth</x:v>
      </x:c>
      <x:c r="B36" s="24" t="n">
        <x:v>0.01</x:v>
      </x:c>
      <x:c r="C36" s="24" t="n">
        <x:v>0.04</x:v>
      </x:c>
      <x:c r="D36" s="24" t="n">
        <x:v>0.06</x:v>
      </x:c>
      <x:c r="E36" s="2"/>
      <x:c r="F36" s="2"/>
      <x:c r="G36" s="2"/>
      <x:c r="H36" s="2"/>
    </x:row>
    <x:row r="37">
      <x:c r="A37" s="2" t="str">
        <x:v>FY2031 revenue growth</x:v>
      </x:c>
      <x:c r="B37" s="24" t="n">
        <x:v>0.01</x:v>
      </x:c>
      <x:c r="C37" s="24" t="n">
        <x:v>0.04</x:v>
      </x:c>
      <x:c r="D37" s="24" t="n">
        <x:v>0.06</x:v>
      </x:c>
      <x:c r="E37" s="2"/>
      <x:c r="F37" s="2"/>
      <x:c r="G37" s="2"/>
      <x:c r="H37" s="2"/>
    </x:row>
    <x:row r="38">
      <x:c r="A38" s="2"/>
      <x:c r="B38" s="24"/>
      <x:c r="C38" s="24"/>
      <x:c r="D38" s="24"/>
      <x:c r="E38" s="2"/>
      <x:c r="F38" s="2"/>
      <x:c r="G38" s="2"/>
      <x:c r="H38" s="2"/>
    </x:row>
    <x:row r="39">
      <x:c r="A39" s="2" t="str">
        <x:v>FY2027 EBITDA margin</x:v>
      </x:c>
      <x:c r="B39" s="24" t="n">
        <x:v>0.265</x:v>
      </x:c>
      <x:c r="C39" s="24" t="n">
        <x:v>0.2720677146311971</x:v>
      </x:c>
      <x:c r="D39" s="24" t="n">
        <x:v>0.277</x:v>
      </x:c>
      <x:c r="E39" s="2"/>
      <x:c r="F39" s="2"/>
      <x:c r="G39" s="2"/>
      <x:c r="H39" s="2"/>
    </x:row>
    <x:row r="40">
      <x:c r="A40" s="2" t="str">
        <x:v>FY2028 EBITDA margin</x:v>
      </x:c>
      <x:c r="B40" s="24" t="n">
        <x:v>0.262</x:v>
      </x:c>
      <x:c r="C40" s="24" t="n">
        <x:v>0.275</x:v>
      </x:c>
      <x:c r="D40" s="24" t="n">
        <x:v>0.284</x:v>
      </x:c>
      <x:c r="E40" s="2"/>
      <x:c r="F40" s="2"/>
      <x:c r="G40" s="2"/>
      <x:c r="H40" s="2"/>
    </x:row>
    <x:row r="41">
      <x:c r="A41" s="2" t="str">
        <x:v>FY2029 EBITDA margin</x:v>
      </x:c>
      <x:c r="B41" s="24" t="n">
        <x:v>0.259</x:v>
      </x:c>
      <x:c r="C41" s="24" t="n">
        <x:v>0.278</x:v>
      </x:c>
      <x:c r="D41" s="24" t="n">
        <x:v>0.29</x:v>
      </x:c>
      <x:c r="E41" s="2"/>
      <x:c r="F41" s="2"/>
      <x:c r="G41" s="2"/>
      <x:c r="H41" s="2"/>
    </x:row>
    <x:row r="42">
      <x:c r="A42" s="2" t="str">
        <x:v>FY2030 EBITDA margin</x:v>
      </x:c>
      <x:c r="B42" s="24" t="n">
        <x:v>0.257</x:v>
      </x:c>
      <x:c r="C42" s="24" t="n">
        <x:v>0.28</x:v>
      </x:c>
      <x:c r="D42" s="24" t="n">
        <x:v>0.295</x:v>
      </x:c>
      <x:c r="E42" s="2"/>
      <x:c r="F42" s="2"/>
      <x:c r="G42" s="2"/>
      <x:c r="H42" s="2"/>
    </x:row>
    <x:row r="43">
      <x:c r="A43" s="2" t="str">
        <x:v>FY2031 EBITDA margin</x:v>
      </x:c>
      <x:c r="B43" s="24" t="n">
        <x:v>0.255</x:v>
      </x:c>
      <x:c r="C43" s="24" t="n">
        <x:v>0.282</x:v>
      </x:c>
      <x:c r="D43" s="24" t="n">
        <x:v>0.3</x:v>
      </x:c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 t="str">
        <x:v>FY2027 base case revenue and EBITDA use FY2027 guidance midpoints ($4.135bn, $1.125bn)</x:v>
      </x:c>
      <x:c r="B46" s="2"/>
      <x:c r="C46" s="2"/>
      <x:c r="D46" s="2"/>
      <x:c r="E46" s="2"/>
      <x:c r="F46" s="2"/>
      <x:c r="G46" s="2"/>
      <x:c r="H46" s="2"/>
    </x:row>
    <x:row r="47">
      <x:c r="A47" s="2" t="str">
        <x:v>EBITDA vs adjusted EBITDA caveat: FY2027 guidance is adjusted, FY2026 reported historical metric is EBITDA.</x:v>
      </x:c>
      <x:c r="B47" s="2"/>
      <x:c r="C47" s="2"/>
      <x:c r="D47" s="2"/>
      <x:c r="E47" s="2"/>
      <x:c r="F47" s="2"/>
      <x:c r="G47" s="2"/>
      <x:c r="H47" s="2"/>
    </x:row>
    <x:row r="48">
      <x:c r="A48" s="2" t="str">
        <x:v>Lease liabilities, tax assets, stock compensation, seller rollover, and transaction structure require additional diligence.</x:v>
      </x:c>
      <x:c r="B48" s="2"/>
      <x:c r="C48" s="2"/>
      <x:c r="D48" s="2"/>
      <x:c r="E48" s="2"/>
      <x:c r="F48" s="2"/>
      <x:c r="G48" s="2"/>
      <x:c r="H48" s="2"/>
    </x:row>
    <x:row r="49">
      <x:c r="A49" s="2" t="str">
        <x:v>The model assumes full reported cash is transaction-available subject to $500mm sponsor-funded minimum cash; verify foreign/seasonal constraints.</x:v>
      </x:c>
      <x:c r="B49" s="2"/>
      <x:c r="C49" s="2"/>
      <x:c r="D49" s="2"/>
      <x:c r="E49" s="2"/>
      <x:c r="F49" s="2"/>
      <x:c r="G49" s="2"/>
      <x:c r="H49" s="2"/>
    </x:row>
    <x:row r="50">
      <x:c r="A50" s="2" t="str">
        <x:v>https://www.sec.gov/Archives/edgar/data/12659/000001265926000019/q4fy26earningsrelease.htm</x:v>
      </x:c>
      <x:c r="B50" s="2"/>
      <x:c r="C50" s="2"/>
      <x:c r="D50" s="2"/>
      <x:c r="E50" s="2"/>
      <x:c r="F50" s="2"/>
      <x:c r="G50" s="2"/>
      <x:c r="H50" s="2"/>
    </x:row>
  </x:sheetData>
  <x:mergeCells>
    <x:mergeCell ref="A1:F2"/>
    <x:mergeCell ref="A4:F4"/>
    <x:mergeCell ref="A29:F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5" t="str">
        <x:v>TAKE-PRIVATE | SOURCES &amp; USES ($ MILLIONS)</x:v>
      </x:c>
      <x:c r="B1" s="5"/>
      <x:c r="C1" s="5"/>
      <x:c r="D1" s="5"/>
      <x:c r="E1" s="5"/>
      <x:c r="F1" s="5"/>
      <x:c r="G1" s="2"/>
      <x:c r="H1" s="2"/>
    </x:row>
    <x:row r="2" ht="23" customHeight="1">
      <x:c r="A2" s="5"/>
      <x:c r="B2" s="5"/>
      <x:c r="C2" s="5"/>
      <x:c r="D2" s="5"/>
      <x:c r="E2" s="5"/>
      <x:c r="F2" s="5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9" t="str">
        <x:v>OFFER AND ENTERPRISE VALUE</x:v>
      </x:c>
      <x:c r="B4" s="9"/>
      <x:c r="C4" s="9"/>
      <x:c r="D4" s="9"/>
      <x:c r="E4" s="9"/>
      <x:c r="F4" s="9"/>
      <x:c r="G4" s="2"/>
      <x:c r="H4" s="2"/>
    </x:row>
    <x:row r="5">
      <x:c r="A5" s="2" t="str">
        <x:v>Unaffected price</x:v>
      </x:c>
      <x:c r="B5" s="2" t="n">
        <x:f>Assumptions!B5</x:f>
        <x:v>50.08</x:v>
      </x:c>
      <x:c r="C5" s="2"/>
      <x:c r="D5" s="2"/>
      <x:c r="E5" s="2"/>
      <x:c r="F5" s="2"/>
      <x:c r="G5" s="2"/>
      <x:c r="H5" s="2"/>
    </x:row>
    <x:row r="6">
      <x:c r="A6" s="2" t="str">
        <x:v>Shares used (mm; dilution unverified)</x:v>
      </x:c>
      <x:c r="B6" s="2" t="n">
        <x:f>Assumptions!B6</x:f>
        <x:v>123.27</x:v>
      </x:c>
      <x:c r="C6" s="2"/>
      <x:c r="D6" s="2"/>
      <x:c r="E6" s="2"/>
      <x:c r="F6" s="2"/>
      <x:c r="G6" s="2"/>
      <x:c r="H6" s="2"/>
    </x:row>
    <x:row r="7">
      <x:c r="A7" s="2" t="str">
        <x:v>Equity purchase premium</x:v>
      </x:c>
      <x:c r="B7" s="12" t="n">
        <x:f>Assumptions!B7</x:f>
        <x:v>0.25</x:v>
      </x:c>
      <x:c r="C7" s="2"/>
      <x:c r="D7" s="2"/>
      <x:c r="E7" s="2"/>
      <x:c r="F7" s="2"/>
      <x:c r="G7" s="2"/>
      <x:c r="H7" s="2"/>
    </x:row>
    <x:row r="8">
      <x:c r="A8" s="2" t="str">
        <x:v>Acquisition price / share</x:v>
      </x:c>
      <x:c r="B8" s="2" t="n">
        <x:f>B5*(1+B7)</x:f>
        <x:v>62.599999999999994</x:v>
      </x:c>
      <x:c r="C8" s="2"/>
      <x:c r="D8" s="2"/>
      <x:c r="E8" s="2"/>
      <x:c r="F8" s="2"/>
      <x:c r="G8" s="2"/>
      <x:c r="H8" s="2"/>
    </x:row>
    <x:row r="9">
      <x:c r="A9" s="2" t="str">
        <x:v>Purchase equity value</x:v>
      </x:c>
      <x:c r="B9" s="2" t="n">
        <x:f>B8*B6</x:f>
        <x:v>7716.701999999999</x:v>
      </x:c>
      <x:c r="C9" s="2"/>
      <x:c r="D9" s="2"/>
      <x:c r="E9" s="2"/>
      <x:c r="F9" s="2"/>
      <x:c r="G9" s="2"/>
      <x:c r="H9" s="2"/>
    </x:row>
    <x:row r="10">
      <x:c r="A10" s="2" t="str">
        <x:v>Existing debt refinanced</x:v>
      </x:c>
      <x:c r="B10" s="2" t="n">
        <x:f>Assumptions!B24</x:f>
        <x:v>1491.493</x:v>
      </x:c>
      <x:c r="C10" s="2"/>
      <x:c r="D10" s="2"/>
      <x:c r="E10" s="2"/>
      <x:c r="F10" s="2"/>
      <x:c r="G10" s="2"/>
      <x:c r="H10" s="2"/>
    </x:row>
    <x:row r="11">
      <x:c r="A11" s="2" t="str">
        <x:v>Existing reported unrestricted cash</x:v>
      </x:c>
      <x:c r="B11" s="2" t="n">
        <x:f>Assumptions!B25</x:f>
        <x:v>958.706</x:v>
      </x:c>
      <x:c r="C11" s="2"/>
      <x:c r="D11" s="2"/>
      <x:c r="E11" s="2"/>
      <x:c r="F11" s="2"/>
      <x:c r="G11" s="2"/>
      <x:c r="H11" s="2"/>
    </x:row>
    <x:row r="12">
      <x:c r="A12" s="2" t="str">
        <x:v>Transaction enterprise value</x:v>
      </x:c>
      <x:c r="B12" s="2" t="n">
        <x:f>SUM(B9:B10)-B11</x:f>
        <x:v>8249.489</x:v>
      </x:c>
      <x:c r="C12" s="2"/>
      <x:c r="D12" s="2"/>
      <x:c r="E12" s="2"/>
      <x:c r="F12" s="2"/>
      <x:c r="G12" s="2"/>
      <x:c r="H12" s="2"/>
    </x:row>
    <x:row r="13">
      <x:c r="A13" s="2" t="str">
        <x:v>FY2026 EBITDA</x:v>
      </x:c>
      <x:c r="B13" s="2" t="n">
        <x:f>Assumptions!B23</x:f>
        <x:v>1056.939</x:v>
      </x:c>
      <x:c r="C13" s="2"/>
      <x:c r="D13" s="2"/>
      <x:c r="E13" s="2"/>
      <x:c r="F13" s="2"/>
      <x:c r="G13" s="2"/>
      <x:c r="H13" s="2"/>
    </x:row>
    <x:row r="14">
      <x:c r="A14" s="2" t="str">
        <x:v>Entry EV / FY2026 EBITDA</x:v>
      </x:c>
      <x:c r="B14" s="14" t="n">
        <x:f>B12/B13</x:f>
        <x:v>7.805075789615104</x:v>
      </x:c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 ht="23" customHeight="1">
      <x:c r="A16" s="9" t="str">
        <x:v>DEBT PACKAGE</x:v>
      </x:c>
      <x:c r="B16" s="9"/>
      <x:c r="C16" s="9"/>
      <x:c r="D16" s="9"/>
      <x:c r="E16" s="9"/>
      <x:c r="F16" s="9"/>
      <x:c r="G16" s="2"/>
      <x:c r="H16" s="2"/>
    </x:row>
    <x:row r="17">
      <x:c r="A17" s="2" t="str">
        <x:v>First-lien term debt</x:v>
      </x:c>
      <x:c r="B17" s="2" t="n">
        <x:f>B13*Assumptions!B10</x:f>
        <x:v>3170.817</x:v>
      </x:c>
      <x:c r="C17" s="2"/>
      <x:c r="D17" s="2"/>
      <x:c r="E17" s="2"/>
      <x:c r="F17" s="2"/>
      <x:c r="G17" s="2"/>
      <x:c r="H17" s="2"/>
    </x:row>
    <x:row r="18">
      <x:c r="A18" s="2" t="str">
        <x:v>Senior notes</x:v>
      </x:c>
      <x:c r="B18" s="2" t="n">
        <x:f>B13*Assumptions!B11</x:f>
        <x:v>1585.4085</x:v>
      </x:c>
      <x:c r="C18" s="2"/>
      <x:c r="D18" s="2"/>
      <x:c r="E18" s="2"/>
      <x:c r="F18" s="2"/>
      <x:c r="G18" s="2"/>
      <x:c r="H18" s="2"/>
    </x:row>
    <x:row r="19">
      <x:c r="A19" s="2" t="str">
        <x:v>Total funded debt</x:v>
      </x:c>
      <x:c r="B19" s="2" t="n">
        <x:f>SUM(B17:B18)</x:f>
        <x:v>4756.2255000000005</x:v>
      </x:c>
      <x:c r="C19" s="2"/>
      <x:c r="D19" s="2"/>
      <x:c r="E19" s="2"/>
      <x:c r="F19" s="2"/>
      <x:c r="G19" s="2"/>
      <x:c r="H19" s="2"/>
    </x:row>
    <x:row r="20">
      <x:c r="A20" s="2" t="str">
        <x:v>Transaction fees</x:v>
      </x:c>
      <x:c r="B20" s="2" t="n">
        <x:f>B12*Assumptions!B8</x:f>
        <x:v>123.74233499999998</x:v>
      </x:c>
      <x:c r="C20" s="2"/>
      <x:c r="D20" s="2"/>
      <x:c r="E20" s="2"/>
      <x:c r="F20" s="2"/>
      <x:c r="G20" s="2"/>
      <x:c r="H20" s="2"/>
    </x:row>
    <x:row r="21">
      <x:c r="A21" s="2" t="str">
        <x:v>Financing fees</x:v>
      </x:c>
      <x:c r="B21" s="2" t="n">
        <x:f>B19*Assumptions!B9</x:f>
        <x:v>95.12451000000001</x:v>
      </x:c>
      <x:c r="C21" s="2"/>
      <x:c r="D21" s="2"/>
      <x:c r="E21" s="2"/>
      <x:c r="F21" s="2"/>
      <x:c r="G21" s="2"/>
      <x:c r="H21" s="2"/>
    </x:row>
    <x:row r="22">
      <x:c r="A22" s="2" t="str">
        <x:v>Funded minimum operating cash</x:v>
      </x:c>
      <x:c r="B22" s="2" t="n">
        <x:f>Assumptions!B16</x:f>
        <x:v>500</x:v>
      </x:c>
      <x:c r="C22" s="2"/>
      <x:c r="D22" s="2"/>
      <x:c r="E22" s="2"/>
      <x:c r="F22" s="2"/>
      <x:c r="G22" s="2"/>
      <x:c r="H22" s="2"/>
    </x:row>
    <x:row r="23" ht="23" customHeight="1">
      <x:c r="A23" s="9" t="str">
        <x:v>USES OF FUNDS</x:v>
      </x:c>
      <x:c r="B23" s="9"/>
      <x:c r="C23" s="9"/>
      <x:c r="D23" s="9"/>
      <x:c r="E23" s="9"/>
      <x:c r="F23" s="9"/>
      <x:c r="G23" s="2"/>
      <x:c r="H23" s="2"/>
    </x:row>
    <x:row r="24">
      <x:c r="A24" s="2" t="str">
        <x:v>Purchase equity value</x:v>
      </x:c>
      <x:c r="B24" s="2" t="n">
        <x:f>B9</x:f>
        <x:v>7716.701999999999</x:v>
      </x:c>
      <x:c r="C24" s="2"/>
      <x:c r="D24" s="2"/>
      <x:c r="E24" s="2"/>
      <x:c r="F24" s="2"/>
      <x:c r="G24" s="2"/>
      <x:c r="H24" s="2"/>
    </x:row>
    <x:row r="25">
      <x:c r="A25" s="2" t="str">
        <x:v>Refinance existing financial debt</x:v>
      </x:c>
      <x:c r="B25" s="2" t="n">
        <x:f>B10</x:f>
        <x:v>1491.493</x:v>
      </x:c>
      <x:c r="C25" s="2"/>
      <x:c r="D25" s="2"/>
      <x:c r="E25" s="2"/>
      <x:c r="F25" s="2"/>
      <x:c r="G25" s="2"/>
      <x:c r="H25" s="2"/>
    </x:row>
    <x:row r="26">
      <x:c r="A26" s="2" t="str">
        <x:v>Advisory / transaction fees</x:v>
      </x:c>
      <x:c r="B26" s="2" t="n">
        <x:f>B20</x:f>
        <x:v>123.74233499999998</x:v>
      </x:c>
      <x:c r="C26" s="2"/>
      <x:c r="D26" s="2"/>
      <x:c r="E26" s="2"/>
      <x:c r="F26" s="2"/>
      <x:c r="G26" s="2"/>
      <x:c r="H26" s="2"/>
    </x:row>
    <x:row r="27">
      <x:c r="A27" s="2" t="str">
        <x:v>Debt underwriting fees</x:v>
      </x:c>
      <x:c r="B27" s="2" t="n">
        <x:f>B21</x:f>
        <x:v>95.12451000000001</x:v>
      </x:c>
      <x:c r="C27" s="2"/>
      <x:c r="D27" s="2"/>
      <x:c r="E27" s="2"/>
      <x:c r="F27" s="2"/>
      <x:c r="G27" s="2"/>
      <x:c r="H27" s="2"/>
    </x:row>
    <x:row r="28">
      <x:c r="A28" s="2" t="str">
        <x:v>Cash on opening balance sheet</x:v>
      </x:c>
      <x:c r="B28" s="2" t="n">
        <x:f>B22</x:f>
        <x:v>500</x:v>
      </x:c>
      <x:c r="C28" s="2"/>
      <x:c r="D28" s="2"/>
      <x:c r="E28" s="2"/>
      <x:c r="F28" s="2"/>
      <x:c r="G28" s="2"/>
      <x:c r="H28" s="2"/>
    </x:row>
    <x:row r="29">
      <x:c r="A29" s="2" t="str">
        <x:v>TOTAL USES</x:v>
      </x:c>
      <x:c r="B29" s="2" t="n">
        <x:f>SUM(B24:B28)</x:f>
        <x:v>9927.061845</x:v>
      </x:c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9" t="str">
        <x:v>SOURCES OF FUNDS</x:v>
      </x:c>
      <x:c r="B31" s="9"/>
      <x:c r="C31" s="9"/>
      <x:c r="D31" s="9"/>
      <x:c r="E31" s="9"/>
      <x:c r="F31" s="9"/>
      <x:c r="G31" s="2"/>
      <x:c r="H31" s="2"/>
    </x:row>
    <x:row r="32">
      <x:c r="A32" s="2" t="str">
        <x:v>Existing unrestricted cash</x:v>
      </x:c>
      <x:c r="B32" s="2" t="n">
        <x:f>B11</x:f>
        <x:v>958.706</x:v>
      </x:c>
      <x:c r="C32" s="2"/>
      <x:c r="D32" s="2"/>
      <x:c r="E32" s="2"/>
      <x:c r="F32" s="2"/>
      <x:c r="G32" s="2"/>
      <x:c r="H32" s="2"/>
    </x:row>
    <x:row r="33">
      <x:c r="A33" s="2" t="str">
        <x:v>First-lien term loan</x:v>
      </x:c>
      <x:c r="B33" s="2" t="n">
        <x:f>B17</x:f>
        <x:v>3170.817</x:v>
      </x:c>
      <x:c r="C33" s="2"/>
      <x:c r="D33" s="2"/>
      <x:c r="E33" s="2"/>
      <x:c r="F33" s="2"/>
      <x:c r="G33" s="2"/>
      <x:c r="H33" s="2"/>
    </x:row>
    <x:row r="34">
      <x:c r="A34" s="2" t="str">
        <x:v>Senior notes</x:v>
      </x:c>
      <x:c r="B34" s="2" t="n">
        <x:f>B18</x:f>
        <x:v>1585.4085</x:v>
      </x:c>
      <x:c r="C34" s="2"/>
      <x:c r="D34" s="2"/>
      <x:c r="E34" s="2"/>
      <x:c r="F34" s="2"/>
      <x:c r="G34" s="2"/>
      <x:c r="H34" s="2"/>
    </x:row>
    <x:row r="35">
      <x:c r="A35" s="2" t="str">
        <x:v>Sponsor equity plug</x:v>
      </x:c>
      <x:c r="B35" s="2" t="n">
        <x:f>B29-SUM(B32:B34)</x:f>
        <x:v>4212.130345</x:v>
      </x:c>
      <x:c r="C35" s="2"/>
      <x:c r="D35" s="2"/>
      <x:c r="E35" s="2"/>
      <x:c r="F35" s="2"/>
      <x:c r="G35" s="2"/>
      <x:c r="H35" s="2"/>
    </x:row>
    <x:row r="36">
      <x:c r="A36" s="2" t="str">
        <x:v>TOTAL SOURCES</x:v>
      </x:c>
      <x:c r="B36" s="2" t="n">
        <x:f>SUM(B32:B35)</x:f>
        <x:v>9927.061845</x:v>
      </x:c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 t="str">
        <x:v>Sources - uses control</x:v>
      </x:c>
      <x:c r="B38" s="2" t="n">
        <x:f>B36-B29</x:f>
        <x:v>0</x:v>
      </x:c>
      <x:c r="C38" s="2"/>
      <x:c r="D38" s="2"/>
      <x:c r="E38" s="2"/>
      <x:c r="F38" s="2"/>
      <x:c r="G38" s="2"/>
      <x:c r="H38" s="2"/>
    </x:row>
    <x:row r="39">
      <x:c r="A39" s="2" t="str">
        <x:v>Sponsor equity / total uses</x:v>
      </x:c>
      <x:c r="B39" s="12" t="n">
        <x:f>B35/B29</x:f>
        <x:v>0.42430785772947904</x:v>
      </x:c>
      <x:c r="C39" s="2"/>
      <x:c r="D39" s="2"/>
      <x:c r="E39" s="2"/>
      <x:c r="F39" s="2"/>
      <x:c r="G39" s="2"/>
      <x:c r="H39" s="2"/>
    </x:row>
    <x:row r="40">
      <x:c r="A40" s="2" t="str">
        <x:v>Gross debt / FY2026 EBITDA</x:v>
      </x:c>
      <x:c r="B40" s="14" t="n">
        <x:f>B19/B13</x:f>
        <x:v>4.5</x:v>
      </x:c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 t="str">
        <x:v>Assumes debt refinance at book value, available unrestricted cash, no rollover, and no lease-debt capitalization.</x:v>
      </x:c>
      <x:c r="B43" s="2"/>
      <x:c r="C43" s="2"/>
      <x:c r="D43" s="2"/>
      <x:c r="E43" s="2"/>
      <x:c r="F43" s="2"/>
      <x:c r="G43" s="2"/>
      <x:c r="H43" s="2"/>
    </x:row>
    <x:row r="44">
      <x:c r="A44" s="2" t="str">
        <x:v>These assumptions are educational; this is not a financing commitment or executable bid.</x:v>
      </x:c>
      <x:c r="B44" s="2"/>
      <x:c r="C44" s="2"/>
      <x:c r="D44" s="2"/>
      <x:c r="E44" s="2"/>
      <x:c r="F44" s="2"/>
      <x:c r="G44" s="2"/>
      <x:c r="H44" s="2"/>
    </x:row>
  </x:sheetData>
  <x:mergeCells>
    <x:mergeCell ref="A1:F2"/>
    <x:mergeCell ref="A4:F4"/>
    <x:mergeCell ref="A16:F16"/>
    <x:mergeCell ref="A23:F23"/>
    <x:mergeCell ref="A31:F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5" t="str">
        <x:v>DOWNSIDE CASE | 5-YEAR LBO CASH FLOW AND DEBT SCHEDULE ($ MILLIONS)</x:v>
      </x:c>
      <x:c r="B1" s="5"/>
      <x:c r="C1" s="5"/>
      <x:c r="D1" s="5"/>
      <x:c r="E1" s="5"/>
      <x:c r="F1" s="5"/>
      <x:c r="G1" s="5"/>
      <x:c r="H1" s="5"/>
    </x:row>
    <x:row r="2" ht="23" customHeight="1">
      <x:c r="A2" s="5"/>
      <x:c r="B2" s="5"/>
      <x:c r="C2" s="5"/>
      <x:c r="D2" s="5"/>
      <x:c r="E2" s="5"/>
      <x:c r="F2" s="5"/>
      <x:c r="G2" s="5"/>
      <x:c r="H2" s="5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 t="str">
        <x:v>FY2027</x:v>
      </x:c>
      <x:c r="E4" s="2" t="str">
        <x:v>FY2028</x:v>
      </x:c>
      <x:c r="F4" s="2" t="str">
        <x:v>FY2029</x:v>
      </x:c>
      <x:c r="G4" s="2" t="str">
        <x:v>FY2030</x:v>
      </x:c>
      <x:c r="H4" s="2" t="str">
        <x:v>FY2031</x:v>
      </x:c>
    </x:row>
    <x:row r="5" ht="23" customHeight="1">
      <x:c r="A5" s="9" t="str">
        <x:v>OPERATING PROJECTIONS</x:v>
      </x:c>
      <x:c r="B5" s="9"/>
      <x:c r="C5" s="9"/>
      <x:c r="D5" s="9"/>
      <x:c r="E5" s="9"/>
      <x:c r="F5" s="9"/>
      <x:c r="G5" s="9"/>
      <x:c r="H5" s="9"/>
    </x:row>
    <x:row r="6">
      <x:c r="A6" s="2" t="str">
        <x:v>Total revenue</x:v>
      </x:c>
      <x:c r="B6" s="2"/>
      <x:c r="C6" s="2"/>
      <x:c r="D6" s="2" t="n">
        <x:f>Assumptions!$B$26*(1+Assumptions!$B$33)</x:f>
        <x:v>4024.2998399999997</x:v>
      </x:c>
      <x:c r="E6" s="2" t="n">
        <x:f>D6*(1+Assumptions!$B$34)</x:f>
        <x:v>4064.5428383999997</x:v>
      </x:c>
      <x:c r="F6" s="2" t="n">
        <x:f>E6*(1+Assumptions!$B$35)</x:f>
        <x:v>4105.188266784</x:v>
      </x:c>
      <x:c r="G6" s="2" t="n">
        <x:f>F6*(1+Assumptions!$B$36)</x:f>
        <x:v>4146.24014945184</x:v>
      </x:c>
      <x:c r="H6" s="2" t="n">
        <x:f>G6*(1+Assumptions!$B$37)</x:f>
        <x:v>4187.702550946358</x:v>
      </x:c>
    </x:row>
    <x:row r="7">
      <x:c r="A7" s="2" t="str">
        <x:v>Revenue growth</x:v>
      </x:c>
      <x:c r="B7" s="2"/>
      <x:c r="C7" s="2"/>
      <x:c r="D7" s="12" t="n">
        <x:f>Assumptions!$B$33</x:f>
        <x:v>0.02</x:v>
      </x:c>
      <x:c r="E7" s="12" t="n">
        <x:f>Assumptions!$B$34</x:f>
        <x:v>0.01</x:v>
      </x:c>
      <x:c r="F7" s="12" t="n">
        <x:f>Assumptions!$B$35</x:f>
        <x:v>0.01</x:v>
      </x:c>
      <x:c r="G7" s="12" t="n">
        <x:f>Assumptions!$B$36</x:f>
        <x:v>0.01</x:v>
      </x:c>
      <x:c r="H7" s="12" t="n">
        <x:f>Assumptions!$B$37</x:f>
        <x:v>0.01</x:v>
      </x:c>
    </x:row>
    <x:row r="8">
      <x:c r="A8" s="2" t="str">
        <x:v>EBITDA margin</x:v>
      </x:c>
      <x:c r="B8" s="2"/>
      <x:c r="C8" s="2"/>
      <x:c r="D8" s="12" t="n">
        <x:f>Assumptions!$B$39</x:f>
        <x:v>0.265</x:v>
      </x:c>
      <x:c r="E8" s="12" t="n">
        <x:f>Assumptions!$B$40</x:f>
        <x:v>0.262</x:v>
      </x:c>
      <x:c r="F8" s="12" t="n">
        <x:f>Assumptions!$B$41</x:f>
        <x:v>0.259</x:v>
      </x:c>
      <x:c r="G8" s="12" t="n">
        <x:f>Assumptions!$B$42</x:f>
        <x:v>0.257</x:v>
      </x:c>
      <x:c r="H8" s="12" t="n">
        <x:f>Assumptions!$B$43</x:f>
        <x:v>0.255</x:v>
      </x:c>
    </x:row>
    <x:row r="9">
      <x:c r="A9" s="28" t="str">
        <x:v>EBITDA</x:v>
      </x:c>
      <x:c r="B9" s="28"/>
      <x:c r="C9" s="28"/>
      <x:c r="D9" s="28" t="n">
        <x:f>D6*D8</x:f>
        <x:v>1066.4394576</x:v>
      </x:c>
      <x:c r="E9" s="28" t="n">
        <x:f>E6*E8</x:f>
        <x:v>1064.9102236608</x:v>
      </x:c>
      <x:c r="F9" s="28" t="n">
        <x:f>F6*F8</x:f>
        <x:v>1063.243761097056</x:v>
      </x:c>
      <x:c r="G9" s="28" t="n">
        <x:f>G6*G8</x:f>
        <x:v>1065.5837184091229</x:v>
      </x:c>
      <x:c r="H9" s="28" t="n">
        <x:f>H6*H8</x:f>
        <x:v>1067.8641504913214</x:v>
      </x:c>
    </x:row>
    <x:row r="10">
      <x:c r="A10" s="2" t="str">
        <x:v>Depreciation and amortization</x:v>
      </x:c>
      <x:c r="B10" s="2"/>
      <x:c r="C10" s="2"/>
      <x:c r="D10" s="2" t="n">
        <x:f>D6*Assumptions!$B$18</x:f>
        <x:v>124.75329503999998</x:v>
      </x:c>
      <x:c r="E10" s="2" t="n">
        <x:f>E6*Assumptions!$B$18</x:f>
        <x:v>126.00082799039998</x:v>
      </x:c>
      <x:c r="F10" s="2" t="n">
        <x:f>F6*Assumptions!$B$18</x:f>
        <x:v>127.260836270304</x:v>
      </x:c>
      <x:c r="G10" s="2" t="n">
        <x:f>G6*Assumptions!$B$18</x:f>
        <x:v>128.53344463300704</x:v>
      </x:c>
      <x:c r="H10" s="2" t="n">
        <x:f>H6*Assumptions!$B$18</x:f>
        <x:v>129.8187790793371</x:v>
      </x:c>
    </x:row>
    <x:row r="11" ht="23" customHeight="1">
      <x:c r="A11" s="9" t="str">
        <x:v>DEBT SERVICE / TAXES</x:v>
      </x:c>
      <x:c r="B11" s="9"/>
      <x:c r="C11" s="9"/>
      <x:c r="D11" s="9"/>
      <x:c r="E11" s="9"/>
      <x:c r="F11" s="9"/>
      <x:c r="G11" s="9"/>
      <x:c r="H11" s="9"/>
    </x:row>
    <x:row r="12">
      <x:c r="A12" s="2" t="str">
        <x:v>Opening term loan</x:v>
      </x:c>
      <x:c r="B12" s="2"/>
      <x:c r="C12" s="2"/>
      <x:c r="D12" s="2" t="n">
        <x:f>Transaction!$B$17</x:f>
        <x:v>3170.817</x:v>
      </x:c>
      <x:c r="E12" s="2" t="n">
        <x:f>D26</x:f>
        <x:v>2811.95126876304</x:v>
      </x:c>
      <x:c r="F12" s="2" t="n">
        <x:f>E26</x:f>
        <x:v>2435.2198941561064</x:v>
      </x:c>
      <x:c r="G12" s="2" t="n">
        <x:f>F26</x:f>
        <x:v>2040.245236547177</x:v>
      </x:c>
      <x:c r="H12" s="2" t="n">
        <x:f>G26</x:f>
        <x:v>1623.608681303099</x:v>
      </x:c>
    </x:row>
    <x:row r="13">
      <x:c r="A13" s="2" t="str">
        <x:v>Opening senior notes</x:v>
      </x:c>
      <x:c r="B13" s="2"/>
      <x:c r="C13" s="2"/>
      <x:c r="D13" s="2" t="n">
        <x:f>Transaction!$B$18</x:f>
        <x:v>1585.4085</x:v>
      </x:c>
      <x:c r="E13" s="2" t="n">
        <x:f>D27</x:f>
        <x:v>1585.4085</x:v>
      </x:c>
      <x:c r="F13" s="2" t="n">
        <x:f>E27</x:f>
        <x:v>1585.4085</x:v>
      </x:c>
      <x:c r="G13" s="2" t="n">
        <x:f>F27</x:f>
        <x:v>1585.4085</x:v>
      </x:c>
      <x:c r="H13" s="2" t="n">
        <x:f>G27</x:f>
        <x:v>1585.4085</x:v>
      </x:c>
    </x:row>
    <x:row r="14">
      <x:c r="A14" s="2" t="str">
        <x:v>Term loan interest expense</x:v>
      </x:c>
      <x:c r="B14" s="2"/>
      <x:c r="C14" s="2"/>
      <x:c r="D14" s="2" t="n">
        <x:f>D12*Assumptions!$B$12</x:f>
        <x:v>269.519445</x:v>
      </x:c>
      <x:c r="E14" s="2" t="n">
        <x:f>E12*Assumptions!$B$12</x:f>
        <x:v>239.0158578448584</x:v>
      </x:c>
      <x:c r="F14" s="2" t="n">
        <x:f>F12*Assumptions!$B$12</x:f>
        <x:v>206.99369100326905</x:v>
      </x:c>
      <x:c r="G14" s="2" t="n">
        <x:f>G12*Assumptions!$B$12</x:f>
        <x:v>173.42084510651006</x:v>
      </x:c>
      <x:c r="H14" s="2" t="n">
        <x:f>H12*Assumptions!$B$12</x:f>
        <x:v>138.00673791076343</x:v>
      </x:c>
    </x:row>
    <x:row r="15">
      <x:c r="A15" s="2" t="str">
        <x:v>Senior notes interest expense</x:v>
      </x:c>
      <x:c r="B15" s="2"/>
      <x:c r="C15" s="2"/>
      <x:c r="D15" s="2" t="n">
        <x:f>D13*Assumptions!$B$13</x:f>
        <x:v>150.6138075</x:v>
      </x:c>
      <x:c r="E15" s="2" t="n">
        <x:f>E13*Assumptions!$B$13</x:f>
        <x:v>150.6138075</x:v>
      </x:c>
      <x:c r="F15" s="2" t="n">
        <x:f>F13*Assumptions!$B$13</x:f>
        <x:v>150.6138075</x:v>
      </x:c>
      <x:c r="G15" s="2" t="n">
        <x:f>G13*Assumptions!$B$13</x:f>
        <x:v>150.6138075</x:v>
      </x:c>
      <x:c r="H15" s="2" t="n">
        <x:f>H13*Assumptions!$B$13</x:f>
        <x:v>150.6138075</x:v>
      </x:c>
    </x:row>
    <x:row r="16">
      <x:c r="A16" s="28" t="str">
        <x:v>Total interest</x:v>
      </x:c>
      <x:c r="B16" s="28"/>
      <x:c r="C16" s="28"/>
      <x:c r="D16" s="28" t="n">
        <x:f>SUM(D14:D15)</x:f>
        <x:v>420.1332525</x:v>
      </x:c>
      <x:c r="E16" s="28" t="n">
        <x:f>SUM(E14:E15)</x:f>
        <x:v>389.6296653448584</x:v>
      </x:c>
      <x:c r="F16" s="28" t="n">
        <x:f>SUM(F14:F15)</x:f>
        <x:v>357.6074985032691</x:v>
      </x:c>
      <x:c r="G16" s="28" t="n">
        <x:f>SUM(G14:G15)</x:f>
        <x:v>324.03465260651006</x:v>
      </x:c>
      <x:c r="H16" s="28" t="n">
        <x:f>SUM(H14:H15)</x:f>
        <x:v>288.62054541076344</x:v>
      </x:c>
    </x:row>
    <x:row r="17">
      <x:c r="A17" s="2" t="str">
        <x:v>Pretax income proxy (EBIT - interest)</x:v>
      </x:c>
      <x:c r="B17" s="2"/>
      <x:c r="C17" s="2"/>
      <x:c r="D17" s="2" t="n">
        <x:f>D9-D10-D16</x:f>
        <x:v>521.5529100599999</x:v>
      </x:c>
      <x:c r="E17" s="2" t="n">
        <x:f>E9-E10-E16</x:f>
        <x:v>549.2797303255417</x:v>
      </x:c>
      <x:c r="F17" s="2" t="n">
        <x:f>F9-F10-F16</x:f>
        <x:v>578.3754263234829</x:v>
      </x:c>
      <x:c r="G17" s="2" t="n">
        <x:f>G9-G10-G16</x:f>
        <x:v>613.0156211696058</x:v>
      </x:c>
      <x:c r="H17" s="2" t="n">
        <x:f>H9-H10-H16</x:f>
        <x:v>649.4248260012209</x:v>
      </x:c>
    </x:row>
    <x:row r="18">
      <x:c r="A18" s="2" t="str">
        <x:v>Cash income taxes</x:v>
      </x:c>
      <x:c r="B18" s="2"/>
      <x:c r="C18" s="2"/>
      <x:c r="D18" s="2" t="n">
        <x:f>MAX(0,D17*Assumptions!$B$17)</x:f>
        <x:v>119.9571693138</x:v>
      </x:c>
      <x:c r="E18" s="2" t="n">
        <x:f>MAX(0,E17*Assumptions!$B$17)</x:f>
        <x:v>126.33433797487459</x:v>
      </x:c>
      <x:c r="F18" s="2" t="n">
        <x:f>MAX(0,F17*Assumptions!$B$17)</x:f>
        <x:v>133.02634805440107</x:v>
      </x:c>
      <x:c r="G18" s="2" t="n">
        <x:f>MAX(0,G17*Assumptions!$B$17)</x:f>
        <x:v>140.99359286900932</x:v>
      </x:c>
      <x:c r="H18" s="2" t="n">
        <x:f>MAX(0,H17*Assumptions!$B$17)</x:f>
        <x:v>149.36770998028084</x:v>
      </x:c>
    </x:row>
    <x:row r="19" ht="23" customHeight="1">
      <x:c r="A19" s="9" t="str">
        <x:v>FREE CASH FLOW AND DELEVERAGING</x:v>
      </x:c>
      <x:c r="B19" s="9"/>
      <x:c r="C19" s="9"/>
      <x:c r="D19" s="9"/>
      <x:c r="E19" s="9"/>
      <x:c r="F19" s="9"/>
      <x:c r="G19" s="9"/>
      <x:c r="H19" s="9"/>
    </x:row>
    <x:row r="20">
      <x:c r="A20" s="2" t="str">
        <x:v>Capital expenditures</x:v>
      </x:c>
      <x:c r="B20" s="2"/>
      <x:c r="C20" s="2"/>
      <x:c r="D20" s="2" t="n">
        <x:f>D6*Assumptions!$B$19</x:f>
        <x:v>84.51029663999999</x:v>
      </x:c>
      <x:c r="E20" s="2" t="n">
        <x:f>E6*Assumptions!$B$19</x:f>
        <x:v>85.3553996064</x:v>
      </x:c>
      <x:c r="F20" s="2" t="n">
        <x:f>F6*Assumptions!$B$19</x:f>
        <x:v>86.208953602464</x:v>
      </x:c>
      <x:c r="G20" s="2" t="n">
        <x:f>G6*Assumptions!$B$19</x:f>
        <x:v>87.07104313848865</x:v>
      </x:c>
      <x:c r="H20" s="2" t="n">
        <x:f>H6*Assumptions!$B$19</x:f>
        <x:v>87.94175356987353</x:v>
      </x:c>
    </x:row>
    <x:row r="21">
      <x:c r="A21" s="2" t="str">
        <x:v>Incremental working capital used</x:v>
      </x:c>
      <x:c r="B21" s="2"/>
      <x:c r="C21" s="2"/>
      <x:c r="D21" s="2" t="n">
        <x:f>MAX(0,(D6-Assumptions!$B$26)*Assumptions!$B$20)</x:f>
        <x:v>1.1836175999999978</x:v>
      </x:c>
      <x:c r="E21" s="2" t="n">
        <x:f>MAX(0,(E6-D6)*Assumptions!$B$20)</x:f>
        <x:v>0.6036449760000004</x:v>
      </x:c>
      <x:c r="F21" s="2" t="n">
        <x:f>MAX(0,(F6-E6)*Assumptions!$B$20)</x:f>
        <x:v>0.6096814257600044</x:v>
      </x:c>
      <x:c r="G21" s="2" t="n">
        <x:f>MAX(0,(G6-F6)*Assumptions!$B$20)</x:f>
        <x:v>0.6157782400175983</x:v>
      </x:c>
      <x:c r="H21" s="2" t="n">
        <x:f>MAX(0,(H6-G6)*Assumptions!$B$20)</x:f>
        <x:v>0.6219360224177762</x:v>
      </x:c>
    </x:row>
    <x:row r="22">
      <x:c r="A22" s="28" t="str">
        <x:v>Free cash flow available</x:v>
      </x:c>
      <x:c r="B22" s="28"/>
      <x:c r="C22" s="28"/>
      <x:c r="D22" s="28" t="n">
        <x:f>D9-D16-D18-D20-D21</x:f>
        <x:v>440.65512154619995</x:v>
      </x:c>
      <x:c r="E22" s="28" t="n">
        <x:f>E9-E16-E18-E20-E21</x:f>
        <x:v>462.98717575866715</x:v>
      </x:c>
      <x:c r="F22" s="28" t="n">
        <x:f>F9-F16-F18-F20-F21</x:f>
        <x:v>485.7912795111618</x:v>
      </x:c>
      <x:c r="G22" s="28" t="n">
        <x:f>G9-G16-G18-G20-G21</x:f>
        <x:v>512.8686515550974</x:v>
      </x:c>
      <x:c r="H22" s="28" t="n">
        <x:f>H9-H16-H18-H20-H21</x:f>
        <x:v>541.3122055079858</x:v>
      </x:c>
    </x:row>
    <x:row r="23">
      <x:c r="A23" s="2" t="str">
        <x:v>Mandatory term repayment</x:v>
      </x:c>
      <x:c r="B23" s="2"/>
      <x:c r="C23" s="2"/>
      <x:c r="D23" s="2" t="n">
        <x:f>MIN(D12,Transaction!$B$17*Assumptions!$B$14)</x:f>
        <x:v>31.70817</x:v>
      </x:c>
      <x:c r="E23" s="2" t="n">
        <x:f>MIN(E12,Transaction!$B$17*Assumptions!$B$14)</x:f>
        <x:v>31.70817</x:v>
      </x:c>
      <x:c r="F23" s="2" t="n">
        <x:f>MIN(F12,Transaction!$B$17*Assumptions!$B$14)</x:f>
        <x:v>31.70817</x:v>
      </x:c>
      <x:c r="G23" s="2" t="n">
        <x:f>MIN(G12,Transaction!$B$17*Assumptions!$B$14)</x:f>
        <x:v>31.70817</x:v>
      </x:c>
      <x:c r="H23" s="2" t="n">
        <x:f>MIN(H12,Transaction!$B$17*Assumptions!$B$14)</x:f>
        <x:v>31.70817</x:v>
      </x:c>
    </x:row>
    <x:row r="24">
      <x:c r="A24" s="2" t="str">
        <x:v>Excess FCF term sweep</x:v>
      </x:c>
      <x:c r="B24" s="2"/>
      <x:c r="C24" s="2"/>
      <x:c r="D24" s="2" t="n">
        <x:f>MIN(MAX(0,D12-D23),MAX(0,D22-D23)*Assumptions!$B$15)</x:f>
        <x:v>327.15756123695996</x:v>
      </x:c>
      <x:c r="E24" s="2" t="n">
        <x:f>MIN(MAX(0,E12-E23),MAX(0,E22-E23)*Assumptions!$B$15)</x:f>
        <x:v>345.02320460693375</x:v>
      </x:c>
      <x:c r="F24" s="2" t="n">
        <x:f>MIN(MAX(0,F12-F23),MAX(0,F22-F23)*Assumptions!$B$15)</x:f>
        <x:v>363.2664876089295</x:v>
      </x:c>
      <x:c r="G24" s="2" t="n">
        <x:f>MIN(MAX(0,G12-G23),MAX(0,G22-G23)*Assumptions!$B$15)</x:f>
        <x:v>384.9283852440779</x:v>
      </x:c>
      <x:c r="H24" s="2" t="n">
        <x:f>MIN(MAX(0,H12-H23),MAX(0,H22-H23)*Assumptions!$B$15)</x:f>
        <x:v>407.6832284063887</x:v>
      </x:c>
    </x:row>
    <x:row r="25">
      <x:c r="A25" s="28" t="str">
        <x:v>Total annual debt repayments</x:v>
      </x:c>
      <x:c r="B25" s="28"/>
      <x:c r="C25" s="28"/>
      <x:c r="D25" s="28" t="n">
        <x:f>SUM(D23:D24)</x:f>
        <x:v>358.86573123695996</x:v>
      </x:c>
      <x:c r="E25" s="28" t="n">
        <x:f>SUM(E23:E24)</x:f>
        <x:v>376.73137460693374</x:v>
      </x:c>
      <x:c r="F25" s="28" t="n">
        <x:f>SUM(F23:F24)</x:f>
        <x:v>394.9746576089295</x:v>
      </x:c>
      <x:c r="G25" s="28" t="n">
        <x:f>SUM(G23:G24)</x:f>
        <x:v>416.6365552440779</x:v>
      </x:c>
      <x:c r="H25" s="28" t="n">
        <x:f>SUM(H23:H24)</x:f>
        <x:v>439.3913984063887</x:v>
      </x:c>
    </x:row>
    <x:row r="26">
      <x:c r="A26" s="2" t="str">
        <x:v>Closing term loan balance</x:v>
      </x:c>
      <x:c r="B26" s="2"/>
      <x:c r="C26" s="2"/>
      <x:c r="D26" s="2" t="n">
        <x:f>D12-D25</x:f>
        <x:v>2811.95126876304</x:v>
      </x:c>
      <x:c r="E26" s="2" t="n">
        <x:f>E12-E25</x:f>
        <x:v>2435.2198941561064</x:v>
      </x:c>
      <x:c r="F26" s="2" t="n">
        <x:f>F12-F25</x:f>
        <x:v>2040.245236547177</x:v>
      </x:c>
      <x:c r="G26" s="2" t="n">
        <x:f>G12-G25</x:f>
        <x:v>1623.608681303099</x:v>
      </x:c>
      <x:c r="H26" s="2" t="n">
        <x:f>H12-H25</x:f>
        <x:v>1184.2172828967105</x:v>
      </x:c>
    </x:row>
    <x:row r="27">
      <x:c r="A27" s="2" t="str">
        <x:v>Closing senior notes balance</x:v>
      </x:c>
      <x:c r="B27" s="2"/>
      <x:c r="C27" s="2"/>
      <x:c r="D27" s="2" t="n">
        <x:f>D13</x:f>
        <x:v>1585.4085</x:v>
      </x:c>
      <x:c r="E27" s="2" t="n">
        <x:f>E13</x:f>
        <x:v>1585.4085</x:v>
      </x:c>
      <x:c r="F27" s="2" t="n">
        <x:f>F13</x:f>
        <x:v>1585.4085</x:v>
      </x:c>
      <x:c r="G27" s="2" t="n">
        <x:f>G13</x:f>
        <x:v>1585.4085</x:v>
      </x:c>
      <x:c r="H27" s="2" t="n">
        <x:f>H13</x:f>
        <x:v>1585.4085</x:v>
      </x:c>
    </x:row>
    <x:row r="28">
      <x:c r="A28" s="28" t="str">
        <x:v>Closing funded debt</x:v>
      </x:c>
      <x:c r="B28" s="28"/>
      <x:c r="C28" s="28"/>
      <x:c r="D28" s="28" t="n">
        <x:f>SUM(D26:D27)</x:f>
        <x:v>4397.35976876304</x:v>
      </x:c>
      <x:c r="E28" s="28" t="n">
        <x:f>SUM(E26:E27)</x:f>
        <x:v>4020.6283941561064</x:v>
      </x:c>
      <x:c r="F28" s="28" t="n">
        <x:f>SUM(F26:F27)</x:f>
        <x:v>3625.653736547177</x:v>
      </x:c>
      <x:c r="G28" s="28" t="n">
        <x:f>SUM(G26:G27)</x:f>
        <x:v>3209.0171813030993</x:v>
      </x:c>
      <x:c r="H28" s="28" t="n">
        <x:f>SUM(H26:H27)</x:f>
        <x:v>2769.6257828967105</x:v>
      </x:c>
    </x:row>
    <x:row r="29">
      <x:c r="A29" s="2" t="str">
        <x:v>Opening cash</x:v>
      </x:c>
      <x:c r="B29" s="2"/>
      <x:c r="C29" s="2"/>
      <x:c r="D29" s="2" t="n">
        <x:f>Transaction!$B$22</x:f>
        <x:v>500</x:v>
      </x:c>
      <x:c r="E29" s="2" t="n">
        <x:f>D31</x:f>
        <x:v>581.7893903092399</x:v>
      </x:c>
      <x:c r="F29" s="2" t="n">
        <x:f>E31</x:f>
        <x:v>668.0451914609733</x:v>
      </x:c>
      <x:c r="G29" s="2" t="n">
        <x:f>F31</x:f>
        <x:v>758.8618133632057</x:v>
      </x:c>
      <x:c r="H29" s="2" t="n">
        <x:f>G31</x:f>
        <x:v>855.0939096742252</x:v>
      </x:c>
    </x:row>
    <x:row r="30">
      <x:c r="A30" s="2" t="str">
        <x:v>Retained free cash flow</x:v>
      </x:c>
      <x:c r="B30" s="2"/>
      <x:c r="C30" s="2"/>
      <x:c r="D30" s="2" t="n">
        <x:f>D22-D25</x:f>
        <x:v>81.78939030923999</x:v>
      </x:c>
      <x:c r="E30" s="2" t="n">
        <x:f>E22-E25</x:f>
        <x:v>86.25580115173341</x:v>
      </x:c>
      <x:c r="F30" s="2" t="n">
        <x:f>F22-F25</x:f>
        <x:v>90.81662190223233</x:v>
      </x:c>
      <x:c r="G30" s="2" t="n">
        <x:f>G22-G25</x:f>
        <x:v>96.23209631101946</x:v>
      </x:c>
      <x:c r="H30" s="2" t="n">
        <x:f>H22-H25</x:f>
        <x:v>101.92080710159712</x:v>
      </x:c>
    </x:row>
    <x:row r="31">
      <x:c r="A31" s="28" t="str">
        <x:v>Closing cash</x:v>
      </x:c>
      <x:c r="B31" s="28"/>
      <x:c r="C31" s="28"/>
      <x:c r="D31" s="28" t="n">
        <x:f>SUM(D29:D30)</x:f>
        <x:v>581.7893903092399</x:v>
      </x:c>
      <x:c r="E31" s="28" t="n">
        <x:f>SUM(E29:E30)</x:f>
        <x:v>668.0451914609733</x:v>
      </x:c>
      <x:c r="F31" s="28" t="n">
        <x:f>SUM(F29:F30)</x:f>
        <x:v>758.8618133632057</x:v>
      </x:c>
      <x:c r="G31" s="28" t="n">
        <x:f>SUM(G29:G30)</x:f>
        <x:v>855.0939096742252</x:v>
      </x:c>
      <x:c r="H31" s="28" t="n">
        <x:f>SUM(H29:H30)</x:f>
        <x:v>957.0147167758223</x:v>
      </x:c>
    </x:row>
    <x:row r="32">
      <x:c r="A32" s="28" t="str">
        <x:v>Net debt</x:v>
      </x:c>
      <x:c r="B32" s="28"/>
      <x:c r="C32" s="28"/>
      <x:c r="D32" s="28" t="n">
        <x:f>D28-D31</x:f>
        <x:v>3815.5703784538</x:v>
      </x:c>
      <x:c r="E32" s="28" t="n">
        <x:f>E28-E31</x:f>
        <x:v>3352.583202695133</x:v>
      </x:c>
      <x:c r="F32" s="28" t="n">
        <x:f>F28-F31</x:f>
        <x:v>2866.791923183971</x:v>
      </x:c>
      <x:c r="G32" s="28" t="n">
        <x:f>G28-G31</x:f>
        <x:v>2353.9232716288743</x:v>
      </x:c>
      <x:c r="H32" s="28" t="n">
        <x:f>H28-H31</x:f>
        <x:v>1812.6110661208882</x:v>
      </x:c>
    </x:row>
    <x:row r="33">
      <x:c r="A33" s="2" t="str">
        <x:v>EBITDA / cash interest coverage</x:v>
      </x:c>
      <x:c r="B33" s="2"/>
      <x:c r="C33" s="2"/>
      <x:c r="D33" s="14" t="n">
        <x:f>D9/D16</x:f>
        <x:v>2.5383362332168646</x:v>
      </x:c>
      <x:c r="E33" s="14" t="n">
        <x:f>E9/E16</x:f>
        <x:v>2.7331343539210646</x:v>
      </x:c>
      <x:c r="F33" s="14" t="n">
        <x:f>F9/F16</x:f>
        <x:v>2.9732143916085594</x:v>
      </x:c>
      <x:c r="G33" s="14" t="n">
        <x:f>G9/G16</x:f>
        <x:v>3.288486925202748</x:v>
      </x:c>
      <x:c r="H33" s="14" t="n">
        <x:f>H9/H16</x:f>
        <x:v>3.6998895867636246</x:v>
      </x:c>
    </x:row>
    <x:row r="34">
      <x:c r="A34" s="2" t="str">
        <x:v>Gross debt / EBITDA</x:v>
      </x:c>
      <x:c r="B34" s="2"/>
      <x:c r="C34" s="2"/>
      <x:c r="D34" s="14" t="n">
        <x:f>D28/D9</x:f>
        <x:v>4.123403103125242</x:v>
      </x:c>
      <x:c r="E34" s="14" t="n">
        <x:f>E28/E9</x:f>
        <x:v>3.775556196967055</x:v>
      </x:c>
      <x:c r="F34" s="14" t="n">
        <x:f>F28/F9</x:f>
        <x:v>3.409992956653913</x:v>
      </x:c>
      <x:c r="G34" s="14" t="n">
        <x:f>G28/G9</x:f>
        <x:v>3.011511086237357</x:v>
      </x:c>
      <x:c r="H34" s="14" t="n">
        <x:f>H28/H9</x:f>
        <x:v>2.5936124755404637</x:v>
      </x:c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9" t="str">
        <x:v>EXIT &amp; SPONSOR RETURNS</x:v>
      </x:c>
      <x:c r="B36" s="9"/>
      <x:c r="C36" s="9"/>
      <x:c r="D36" s="9"/>
      <x:c r="E36" s="9"/>
      <x:c r="F36" s="9"/>
      <x:c r="G36" s="9"/>
      <x:c r="H36" s="9"/>
    </x:row>
    <x:row r="37">
      <x:c r="A37" s="2" t="str">
        <x:v>Assumed exit EV / EBITDA</x:v>
      </x:c>
      <x:c r="B37" s="2"/>
      <x:c r="C37" s="2"/>
      <x:c r="D37" s="14" t="n">
        <x:f>Assumptions!$B$32</x:f>
        <x:v>6</x:v>
      </x:c>
      <x:c r="E37" s="14" t="n">
        <x:f>Assumptions!$B$32</x:f>
        <x:v>6</x:v>
      </x:c>
      <x:c r="F37" s="14" t="n">
        <x:f>Assumptions!$B$32</x:f>
        <x:v>6</x:v>
      </x:c>
      <x:c r="G37" s="14" t="n">
        <x:f>Assumptions!$B$32</x:f>
        <x:v>6</x:v>
      </x:c>
      <x:c r="H37" s="14" t="n">
        <x:f>Assumptions!$B$32</x:f>
        <x:v>6</x:v>
      </x:c>
    </x:row>
    <x:row r="38">
      <x:c r="A38" s="2" t="str">
        <x:v>Exit enterprise value</x:v>
      </x:c>
      <x:c r="B38" s="2"/>
      <x:c r="C38" s="2"/>
      <x:c r="D38" s="2" t="n">
        <x:f>D9*D37</x:f>
        <x:v>6398.6367456</x:v>
      </x:c>
      <x:c r="E38" s="2" t="n">
        <x:f>E9*E37</x:f>
        <x:v>6389.4613419648</x:v>
      </x:c>
      <x:c r="F38" s="2" t="n">
        <x:f>F9*F37</x:f>
        <x:v>6379.462566582336</x:v>
      </x:c>
      <x:c r="G38" s="2" t="n">
        <x:f>G9*G37</x:f>
        <x:v>6393.502310454737</x:v>
      </x:c>
      <x:c r="H38" s="2" t="n">
        <x:f>H9*H37</x:f>
        <x:v>6407.184902947929</x:v>
      </x:c>
    </x:row>
    <x:row r="39">
      <x:c r="A39" s="28" t="str">
        <x:v>Exit sponsor equity</x:v>
      </x:c>
      <x:c r="B39" s="28"/>
      <x:c r="C39" s="28"/>
      <x:c r="D39" s="28" t="n">
        <x:f>D38-D28+D31</x:f>
        <x:v>2583.0663671462</x:v>
      </x:c>
      <x:c r="E39" s="28" t="n">
        <x:f>E38-E28+E31</x:f>
        <x:v>3036.8781392696674</x:v>
      </x:c>
      <x:c r="F39" s="28" t="n">
        <x:f>F38-F28+F31</x:f>
        <x:v>3512.670643398365</x:v>
      </x:c>
      <x:c r="G39" s="28" t="n">
        <x:f>G38-G28+G31</x:f>
        <x:v>4039.579038825863</x:v>
      </x:c>
      <x:c r="H39" s="28" t="n">
        <x:f>H38-H28+H31</x:f>
        <x:v>4594.573836827041</x:v>
      </x:c>
    </x:row>
    <x:row r="40">
      <x:c r="A40" s="2" t="str">
        <x:v>Sponsor equity at entry</x:v>
      </x:c>
      <x:c r="B40" s="2"/>
      <x:c r="C40" s="2"/>
      <x:c r="D40" s="2" t="n">
        <x:f>Transaction!$B$35</x:f>
        <x:v>4212.130345</x:v>
      </x:c>
      <x:c r="E40" s="2" t="n">
        <x:f>Transaction!$B$35</x:f>
        <x:v>4212.130345</x:v>
      </x:c>
      <x:c r="F40" s="2" t="n">
        <x:f>Transaction!$B$35</x:f>
        <x:v>4212.130345</x:v>
      </x:c>
      <x:c r="G40" s="2" t="n">
        <x:f>Transaction!$B$35</x:f>
        <x:v>4212.130345</x:v>
      </x:c>
      <x:c r="H40" s="2" t="n">
        <x:f>Transaction!$B$35</x:f>
        <x:v>4212.130345</x:v>
      </x:c>
    </x:row>
    <x:row r="41">
      <x:c r="A41" s="28" t="str">
        <x:v>Sponsor MOIC</x:v>
      </x:c>
      <x:c r="B41" s="28"/>
      <x:c r="C41" s="28"/>
      <x:c r="D41" s="30" t="n">
        <x:f>D39/D40</x:f>
        <x:v>0.6132446423963169</x:v>
      </x:c>
      <x:c r="E41" s="30" t="n">
        <x:f>E39/E40</x:f>
        <x:v>0.7209838942602019</x:v>
      </x:c>
      <x:c r="F41" s="30" t="n">
        <x:f>F39/F40</x:f>
        <x:v>0.8339415819759883</x:v>
      </x:c>
      <x:c r="G41" s="30" t="n">
        <x:f>G39/G40</x:f>
        <x:v>0.9590346708099944</x:v>
      </x:c>
      <x:c r="H41" s="30" t="n">
        <x:f>H39/H40</x:f>
        <x:v>1.090795740041858</x:v>
      </x:c>
    </x:row>
    <x:row r="42">
      <x:c r="A42" s="28" t="str">
        <x:v>Gross sponsor IRR</x:v>
      </x:c>
      <x:c r="B42" s="28"/>
      <x:c r="C42" s="28"/>
      <x:c r="D42" s="32" t="n">
        <x:f>D41^(1/1)-1</x:f>
        <x:v>-0.38675535760368307</x:v>
      </x:c>
      <x:c r="E42" s="32" t="n">
        <x:f>E41^(1/2)-1</x:f>
        <x:v>-0.15089229525330417</x:v>
      </x:c>
      <x:c r="F42" s="32" t="n">
        <x:f>F41^(1/3)-1</x:f>
        <x:v>-0.058735073245767544</x:v>
      </x:c>
      <x:c r="G42" s="32" t="n">
        <x:f>G41^(1/4)-1</x:f>
        <x:v>-0.010402528437196246</x:v>
      </x:c>
      <x:c r="H42" s="32" t="n">
        <x:f>H41^(1/5)-1</x:f>
        <x:v>0.017533430502812086</x:v>
      </x:c>
    </x:row>
    <x:row r="43">
      <x:c r="A43" s="2" t="str">
        <x:v>IRR less 20% hurdle</x:v>
      </x:c>
      <x:c r="B43" s="2"/>
      <x:c r="C43" s="2"/>
      <x:c r="D43" s="12" t="n">
        <x:f>D42-Assumptions!$B$22</x:f>
        <x:v>-0.586755357603683</x:v>
      </x:c>
      <x:c r="E43" s="12" t="n">
        <x:f>E42-Assumptions!$B$22</x:f>
        <x:v>-0.3508922952533042</x:v>
      </x:c>
      <x:c r="F43" s="12" t="n">
        <x:f>F42-Assumptions!$B$22</x:f>
        <x:v>-0.25873507324576756</x:v>
      </x:c>
      <x:c r="G43" s="12" t="n">
        <x:f>G42-Assumptions!$B$22</x:f>
        <x:v>-0.21040252843719626</x:v>
      </x:c>
      <x:c r="H43" s="12" t="n">
        <x:f>H42-Assumptions!$B$22</x:f>
        <x:v>-0.18246656949718792</x:v>
      </x:c>
    </x:row>
    <x:row r="44">
      <x:c r="A44" s="2" t="str">
        <x:v>Cash bridge check</x:v>
      </x:c>
      <x:c r="B44" s="2"/>
      <x:c r="C44" s="2"/>
      <x:c r="D44" s="2" t="n">
        <x:f>D31-D29-D30</x:f>
        <x:v>-5.684341886080802e-14</x:v>
      </x:c>
      <x:c r="E44" s="2" t="n">
        <x:f>E31-E29-E30</x:f>
        <x:v>0</x:v>
      </x:c>
      <x:c r="F44" s="2" t="n">
        <x:f>F31-F29-F30</x:f>
        <x:v>0</x:v>
      </x:c>
      <x:c r="G44" s="2" t="n">
        <x:f>G31-G29-G30</x:f>
        <x:v>5.684341886080802e-14</x:v>
      </x:c>
      <x:c r="H44" s="2" t="n">
        <x:f>H31-H29-H30</x:f>
        <x:v>0</x:v>
      </x:c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 t="str">
        <x:v>Cash interest on beginning-of-year debt; no revolver, M&amp;A outlays, OID, or tax shield limitation modeled.</x:v>
      </x:c>
      <x:c r="B47" s="2"/>
      <x:c r="C47" s="2"/>
      <x:c r="D47" s="2"/>
      <x:c r="E47" s="2"/>
      <x:c r="F47" s="2"/>
      <x:c r="G47" s="2"/>
      <x:c r="H47" s="2"/>
    </x:row>
    <x:row r="48">
      <x:c r="A48" s="2" t="str">
        <x:v>All non-mandatory debt paydown applies only to the first-lien term loan; senior notes mature as a bullet at exit.</x:v>
      </x:c>
      <x:c r="B48" s="2"/>
      <x:c r="C48" s="2"/>
      <x:c r="D48" s="2"/>
      <x:c r="E48" s="2"/>
      <x:c r="F48" s="2"/>
      <x:c r="G48" s="2"/>
      <x:c r="H48" s="2"/>
    </x:row>
    <x:row r="49">
      <x:c r="A49" s="2" t="str">
        <x:v>Closing cash accumulation may conceal intrayear seasonality / minimum cash needs; confirm with monthly liquidity diligence.</x:v>
      </x:c>
      <x:c r="B49" s="2"/>
      <x:c r="C49" s="2"/>
      <x:c r="D49" s="2"/>
      <x:c r="E49" s="2"/>
      <x:c r="F49" s="2"/>
      <x:c r="G49" s="2"/>
      <x:c r="H49" s="2"/>
    </x:row>
  </x:sheetData>
  <x:mergeCells>
    <x:mergeCell ref="A1:H2"/>
    <x:mergeCell ref="A5:H5"/>
    <x:mergeCell ref="A11:H11"/>
    <x:mergeCell ref="A19:H19"/>
    <x:mergeCell ref="A36:H3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5" t="str">
        <x:v>BASE CASE | 5-YEAR LBO CASH FLOW AND DEBT SCHEDULE ($ MILLIONS)</x:v>
      </x:c>
      <x:c r="B1" s="5"/>
      <x:c r="C1" s="5"/>
      <x:c r="D1" s="5"/>
      <x:c r="E1" s="5"/>
      <x:c r="F1" s="5"/>
      <x:c r="G1" s="5"/>
      <x:c r="H1" s="5"/>
    </x:row>
    <x:row r="2" ht="23" customHeight="1">
      <x:c r="A2" s="5"/>
      <x:c r="B2" s="5"/>
      <x:c r="C2" s="5"/>
      <x:c r="D2" s="5"/>
      <x:c r="E2" s="5"/>
      <x:c r="F2" s="5"/>
      <x:c r="G2" s="5"/>
      <x:c r="H2" s="5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 t="str">
        <x:v>FY2027</x:v>
      </x:c>
      <x:c r="E4" s="2" t="str">
        <x:v>FY2028</x:v>
      </x:c>
      <x:c r="F4" s="2" t="str">
        <x:v>FY2029</x:v>
      </x:c>
      <x:c r="G4" s="2" t="str">
        <x:v>FY2030</x:v>
      </x:c>
      <x:c r="H4" s="2" t="str">
        <x:v>FY2031</x:v>
      </x:c>
    </x:row>
    <x:row r="5" ht="23" customHeight="1">
      <x:c r="A5" s="9" t="str">
        <x:v>OPERATING PROJECTIONS</x:v>
      </x:c>
      <x:c r="B5" s="9"/>
      <x:c r="C5" s="9"/>
      <x:c r="D5" s="9"/>
      <x:c r="E5" s="9"/>
      <x:c r="F5" s="9"/>
      <x:c r="G5" s="9"/>
      <x:c r="H5" s="9"/>
    </x:row>
    <x:row r="6">
      <x:c r="A6" s="2" t="str">
        <x:v>Total revenue</x:v>
      </x:c>
      <x:c r="B6" s="2"/>
      <x:c r="C6" s="2"/>
      <x:c r="D6" s="2" t="n">
        <x:f>Assumptions!$B$26*(1+Assumptions!$C$33)</x:f>
        <x:v>4135</x:v>
      </x:c>
      <x:c r="E6" s="2" t="n">
        <x:f>D6*(1+Assumptions!$C$34)</x:f>
        <x:v>4300.400000000001</x:v>
      </x:c>
      <x:c r="F6" s="2" t="n">
        <x:f>E6*(1+Assumptions!$C$35)</x:f>
        <x:v>4472.416000000001</x:v>
      </x:c>
      <x:c r="G6" s="2" t="n">
        <x:f>F6*(1+Assumptions!$C$36)</x:f>
        <x:v>4651.312640000001</x:v>
      </x:c>
      <x:c r="H6" s="2" t="n">
        <x:f>G6*(1+Assumptions!$C$37)</x:f>
        <x:v>4837.365145600002</x:v>
      </x:c>
    </x:row>
    <x:row r="7">
      <x:c r="A7" s="2" t="str">
        <x:v>Revenue growth</x:v>
      </x:c>
      <x:c r="B7" s="2"/>
      <x:c r="C7" s="2"/>
      <x:c r="D7" s="12" t="n">
        <x:f>Assumptions!$C$33</x:f>
        <x:v>0.048058089031457474</x:v>
      </x:c>
      <x:c r="E7" s="12" t="n">
        <x:f>Assumptions!$C$34</x:f>
        <x:v>0.04</x:v>
      </x:c>
      <x:c r="F7" s="12" t="n">
        <x:f>Assumptions!$C$35</x:f>
        <x:v>0.04</x:v>
      </x:c>
      <x:c r="G7" s="12" t="n">
        <x:f>Assumptions!$C$36</x:f>
        <x:v>0.04</x:v>
      </x:c>
      <x:c r="H7" s="12" t="n">
        <x:f>Assumptions!$C$37</x:f>
        <x:v>0.04</x:v>
      </x:c>
    </x:row>
    <x:row r="8">
      <x:c r="A8" s="2" t="str">
        <x:v>EBITDA margin</x:v>
      </x:c>
      <x:c r="B8" s="2"/>
      <x:c r="C8" s="2"/>
      <x:c r="D8" s="12" t="n">
        <x:f>Assumptions!$C$39</x:f>
        <x:v>0.2720677146311971</x:v>
      </x:c>
      <x:c r="E8" s="12" t="n">
        <x:f>Assumptions!$C$40</x:f>
        <x:v>0.275</x:v>
      </x:c>
      <x:c r="F8" s="12" t="n">
        <x:f>Assumptions!$C$41</x:f>
        <x:v>0.278</x:v>
      </x:c>
      <x:c r="G8" s="12" t="n">
        <x:f>Assumptions!$C$42</x:f>
        <x:v>0.28</x:v>
      </x:c>
      <x:c r="H8" s="12" t="n">
        <x:f>Assumptions!$C$43</x:f>
        <x:v>0.282</x:v>
      </x:c>
    </x:row>
    <x:row r="9">
      <x:c r="A9" s="28" t="str">
        <x:v>EBITDA</x:v>
      </x:c>
      <x:c r="B9" s="28"/>
      <x:c r="C9" s="28"/>
      <x:c r="D9" s="28" t="n">
        <x:f>D6*D8</x:f>
        <x:v>1125</x:v>
      </x:c>
      <x:c r="E9" s="28" t="n">
        <x:f>E6*E8</x:f>
        <x:v>1182.6100000000004</x:v>
      </x:c>
      <x:c r="F9" s="28" t="n">
        <x:f>F6*F8</x:f>
        <x:v>1243.3316480000003</x:v>
      </x:c>
      <x:c r="G9" s="28" t="n">
        <x:f>G6*G8</x:f>
        <x:v>1302.3675392000005</x:v>
      </x:c>
      <x:c r="H9" s="28" t="n">
        <x:f>H6*H8</x:f>
        <x:v>1364.1369710592003</x:v>
      </x:c>
    </x:row>
    <x:row r="10">
      <x:c r="A10" s="2" t="str">
        <x:v>Depreciation and amortization</x:v>
      </x:c>
      <x:c r="B10" s="2"/>
      <x:c r="C10" s="2"/>
      <x:c r="D10" s="2" t="n">
        <x:f>D6*Assumptions!$B$18</x:f>
        <x:v>128.185</x:v>
      </x:c>
      <x:c r="E10" s="2" t="n">
        <x:f>E6*Assumptions!$B$18</x:f>
        <x:v>133.31240000000003</x:v>
      </x:c>
      <x:c r="F10" s="2" t="n">
        <x:f>F6*Assumptions!$B$18</x:f>
        <x:v>138.64489600000005</x:v>
      </x:c>
      <x:c r="G10" s="2" t="n">
        <x:f>G6*Assumptions!$B$18</x:f>
        <x:v>144.19069184000003</x:v>
      </x:c>
      <x:c r="H10" s="2" t="n">
        <x:f>H6*Assumptions!$B$18</x:f>
        <x:v>149.95831951360006</x:v>
      </x:c>
    </x:row>
    <x:row r="11" ht="23" customHeight="1">
      <x:c r="A11" s="9" t="str">
        <x:v>DEBT SERVICE / TAXES</x:v>
      </x:c>
      <x:c r="B11" s="9"/>
      <x:c r="C11" s="9"/>
      <x:c r="D11" s="9"/>
      <x:c r="E11" s="9"/>
      <x:c r="F11" s="9"/>
      <x:c r="G11" s="9"/>
      <x:c r="H11" s="9"/>
    </x:row>
    <x:row r="12">
      <x:c r="A12" s="2" t="str">
        <x:v>Opening term loan</x:v>
      </x:c>
      <x:c r="B12" s="2"/>
      <x:c r="C12" s="2"/>
      <x:c r="D12" s="2" t="n">
        <x:f>Transaction!$B$17</x:f>
        <x:v>3170.817</x:v>
      </x:c>
      <x:c r="E12" s="2" t="n">
        <x:f>D26</x:f>
        <x:v>2778.43470554</x:v>
      </x:c>
      <x:c r="F12" s="2" t="n">
        <x:f>E26</x:f>
        <x:v>2331.564296542074</x:v>
      </x:c>
      <x:c r="G12" s="2" t="n">
        <x:f>F26</x:f>
        <x:v>1825.8792992970166</x:v>
      </x:c>
      <x:c r="H12" s="2" t="n">
        <x:f>G26</x:f>
        <x:v>1259.418131414448</x:v>
      </x:c>
    </x:row>
    <x:row r="13">
      <x:c r="A13" s="2" t="str">
        <x:v>Opening senior notes</x:v>
      </x:c>
      <x:c r="B13" s="2"/>
      <x:c r="C13" s="2"/>
      <x:c r="D13" s="2" t="n">
        <x:f>Transaction!$B$18</x:f>
        <x:v>1585.4085</x:v>
      </x:c>
      <x:c r="E13" s="2" t="n">
        <x:f>D27</x:f>
        <x:v>1585.4085</x:v>
      </x:c>
      <x:c r="F13" s="2" t="n">
        <x:f>E27</x:f>
        <x:v>1585.4085</x:v>
      </x:c>
      <x:c r="G13" s="2" t="n">
        <x:f>F27</x:f>
        <x:v>1585.4085</x:v>
      </x:c>
      <x:c r="H13" s="2" t="n">
        <x:f>G27</x:f>
        <x:v>1585.4085</x:v>
      </x:c>
    </x:row>
    <x:row r="14">
      <x:c r="A14" s="2" t="str">
        <x:v>Term loan interest expense</x:v>
      </x:c>
      <x:c r="B14" s="2"/>
      <x:c r="C14" s="2"/>
      <x:c r="D14" s="2" t="n">
        <x:f>D12*Assumptions!$B$12</x:f>
        <x:v>269.519445</x:v>
      </x:c>
      <x:c r="E14" s="2" t="n">
        <x:f>E12*Assumptions!$B$12</x:f>
        <x:v>236.1669499709</x:v>
      </x:c>
      <x:c r="F14" s="2" t="n">
        <x:f>F12*Assumptions!$B$12</x:f>
        <x:v>198.1829652060763</x:v>
      </x:c>
      <x:c r="G14" s="2" t="n">
        <x:f>G12*Assumptions!$B$12</x:f>
        <x:v>155.19974044024642</x:v>
      </x:c>
      <x:c r="H14" s="2" t="n">
        <x:f>H12*Assumptions!$B$12</x:f>
        <x:v>107.05054117022809</x:v>
      </x:c>
    </x:row>
    <x:row r="15">
      <x:c r="A15" s="2" t="str">
        <x:v>Senior notes interest expense</x:v>
      </x:c>
      <x:c r="B15" s="2"/>
      <x:c r="C15" s="2"/>
      <x:c r="D15" s="2" t="n">
        <x:f>D13*Assumptions!$B$13</x:f>
        <x:v>150.6138075</x:v>
      </x:c>
      <x:c r="E15" s="2" t="n">
        <x:f>E13*Assumptions!$B$13</x:f>
        <x:v>150.6138075</x:v>
      </x:c>
      <x:c r="F15" s="2" t="n">
        <x:f>F13*Assumptions!$B$13</x:f>
        <x:v>150.6138075</x:v>
      </x:c>
      <x:c r="G15" s="2" t="n">
        <x:f>G13*Assumptions!$B$13</x:f>
        <x:v>150.6138075</x:v>
      </x:c>
      <x:c r="H15" s="2" t="n">
        <x:f>H13*Assumptions!$B$13</x:f>
        <x:v>150.6138075</x:v>
      </x:c>
    </x:row>
    <x:row r="16">
      <x:c r="A16" s="28" t="str">
        <x:v>Total interest</x:v>
      </x:c>
      <x:c r="B16" s="28"/>
      <x:c r="C16" s="28"/>
      <x:c r="D16" s="28" t="n">
        <x:f>SUM(D14:D15)</x:f>
        <x:v>420.1332525</x:v>
      </x:c>
      <x:c r="E16" s="28" t="n">
        <x:f>SUM(E14:E15)</x:f>
        <x:v>386.78075747089997</x:v>
      </x:c>
      <x:c r="F16" s="28" t="n">
        <x:f>SUM(F14:F15)</x:f>
        <x:v>348.7967727060763</x:v>
      </x:c>
      <x:c r="G16" s="28" t="n">
        <x:f>SUM(G14:G15)</x:f>
        <x:v>305.8135479402464</x:v>
      </x:c>
      <x:c r="H16" s="28" t="n">
        <x:f>SUM(H14:H15)</x:f>
        <x:v>257.6643486702281</x:v>
      </x:c>
    </x:row>
    <x:row r="17">
      <x:c r="A17" s="2" t="str">
        <x:v>Pretax income proxy (EBIT - interest)</x:v>
      </x:c>
      <x:c r="B17" s="2"/>
      <x:c r="C17" s="2"/>
      <x:c r="D17" s="2" t="n">
        <x:f>D9-D10-D16</x:f>
        <x:v>576.6817475</x:v>
      </x:c>
      <x:c r="E17" s="2" t="n">
        <x:f>E9-E10-E16</x:f>
        <x:v>662.5168425291004</x:v>
      </x:c>
      <x:c r="F17" s="2" t="n">
        <x:f>F9-F10-F16</x:f>
        <x:v>755.889979293924</x:v>
      </x:c>
      <x:c r="G17" s="2" t="n">
        <x:f>G9-G10-G16</x:f>
        <x:v>852.3632994197541</x:v>
      </x:c>
      <x:c r="H17" s="2" t="n">
        <x:f>H9-H10-H16</x:f>
        <x:v>956.5143028753721</x:v>
      </x:c>
    </x:row>
    <x:row r="18">
      <x:c r="A18" s="2" t="str">
        <x:v>Cash income taxes</x:v>
      </x:c>
      <x:c r="B18" s="2"/>
      <x:c r="C18" s="2"/>
      <x:c r="D18" s="2" t="n">
        <x:f>MAX(0,D17*Assumptions!$B$17)</x:f>
        <x:v>132.63680192500001</x:v>
      </x:c>
      <x:c r="E18" s="2" t="n">
        <x:f>MAX(0,E17*Assumptions!$B$17)</x:f>
        <x:v>152.3788737816931</x:v>
      </x:c>
      <x:c r="F18" s="2" t="n">
        <x:f>MAX(0,F17*Assumptions!$B$17)</x:f>
        <x:v>173.85469523760253</x:v>
      </x:c>
      <x:c r="G18" s="2" t="n">
        <x:f>MAX(0,G17*Assumptions!$B$17)</x:f>
        <x:v>196.04355886654344</x:v>
      </x:c>
      <x:c r="H18" s="2" t="n">
        <x:f>MAX(0,H17*Assumptions!$B$17)</x:f>
        <x:v>219.9982896613356</x:v>
      </x:c>
    </x:row>
    <x:row r="19" ht="23" customHeight="1">
      <x:c r="A19" s="9" t="str">
        <x:v>FREE CASH FLOW AND DELEVERAGING</x:v>
      </x:c>
      <x:c r="B19" s="9"/>
      <x:c r="C19" s="9"/>
      <x:c r="D19" s="9"/>
      <x:c r="E19" s="9"/>
      <x:c r="F19" s="9"/>
      <x:c r="G19" s="9"/>
      <x:c r="H19" s="9"/>
    </x:row>
    <x:row r="20">
      <x:c r="A20" s="2" t="str">
        <x:v>Capital expenditures</x:v>
      </x:c>
      <x:c r="B20" s="2"/>
      <x:c r="C20" s="2"/>
      <x:c r="D20" s="2" t="n">
        <x:f>D6*Assumptions!$B$19</x:f>
        <x:v>86.83500000000001</x:v>
      </x:c>
      <x:c r="E20" s="2" t="n">
        <x:f>E6*Assumptions!$B$19</x:f>
        <x:v>90.30840000000002</x:v>
      </x:c>
      <x:c r="F20" s="2" t="n">
        <x:f>F6*Assumptions!$B$19</x:f>
        <x:v>93.92073600000003</x:v>
      </x:c>
      <x:c r="G20" s="2" t="n">
        <x:f>G6*Assumptions!$B$19</x:f>
        <x:v>97.67756544000002</x:v>
      </x:c>
      <x:c r="H20" s="2" t="n">
        <x:f>H6*Assumptions!$B$19</x:f>
        <x:v>101.58466805760004</x:v>
      </x:c>
    </x:row>
    <x:row r="21">
      <x:c r="A21" s="2" t="str">
        <x:v>Incremental working capital used</x:v>
      </x:c>
      <x:c r="B21" s="2"/>
      <x:c r="C21" s="2"/>
      <x:c r="D21" s="2" t="n">
        <x:f>MAX(0,(D6-Assumptions!$B$26)*Assumptions!$B$20)</x:f>
        <x:v>2.8441200000000024</x:v>
      </x:c>
      <x:c r="E21" s="2" t="n">
        <x:f>MAX(0,(E6-D6)*Assumptions!$B$20)</x:f>
        <x:v>2.4810000000000083</x:v>
      </x:c>
      <x:c r="F21" s="2" t="n">
        <x:f>MAX(0,(F6-E6)*Assumptions!$B$20)</x:f>
        <x:v>2.580240000000008</x:v>
      </x:c>
      <x:c r="G21" s="2" t="n">
        <x:f>MAX(0,(G6-F6)*Assumptions!$B$20)</x:f>
        <x:v>2.683449599999999</x:v>
      </x:c>
      <x:c r="H21" s="2" t="n">
        <x:f>MAX(0,(H6-G6)*Assumptions!$B$20)</x:f>
        <x:v>2.7907875840000087</x:v>
      </x:c>
    </x:row>
    <x:row r="22">
      <x:c r="A22" s="28" t="str">
        <x:v>Free cash flow available</x:v>
      </x:c>
      <x:c r="B22" s="28"/>
      <x:c r="C22" s="28"/>
      <x:c r="D22" s="28" t="n">
        <x:f>D9-D16-D18-D20-D21</x:f>
        <x:v>482.550825575</x:v>
      </x:c>
      <x:c r="E22" s="28" t="n">
        <x:f>E9-E16-E18-E20-E21</x:f>
        <x:v>550.6609687474073</x:v>
      </x:c>
      <x:c r="F22" s="28" t="n">
        <x:f>F9-F16-F18-F20-F21</x:f>
        <x:v>624.1792040563214</x:v>
      </x:c>
      <x:c r="G22" s="28" t="n">
        <x:f>G9-G16-G18-G20-G21</x:f>
        <x:v>700.1494173532107</x:v>
      </x:c>
      <x:c r="H22" s="28" t="n">
        <x:f>H9-H16-H18-H20-H21</x:f>
        <x:v>782.0988770860366</x:v>
      </x:c>
    </x:row>
    <x:row r="23">
      <x:c r="A23" s="2" t="str">
        <x:v>Mandatory term repayment</x:v>
      </x:c>
      <x:c r="B23" s="2"/>
      <x:c r="C23" s="2"/>
      <x:c r="D23" s="2" t="n">
        <x:f>MIN(D12,Transaction!$B$17*Assumptions!$B$14)</x:f>
        <x:v>31.70817</x:v>
      </x:c>
      <x:c r="E23" s="2" t="n">
        <x:f>MIN(E12,Transaction!$B$17*Assumptions!$B$14)</x:f>
        <x:v>31.70817</x:v>
      </x:c>
      <x:c r="F23" s="2" t="n">
        <x:f>MIN(F12,Transaction!$B$17*Assumptions!$B$14)</x:f>
        <x:v>31.70817</x:v>
      </x:c>
      <x:c r="G23" s="2" t="n">
        <x:f>MIN(G12,Transaction!$B$17*Assumptions!$B$14)</x:f>
        <x:v>31.70817</x:v>
      </x:c>
      <x:c r="H23" s="2" t="n">
        <x:f>MIN(H12,Transaction!$B$17*Assumptions!$B$14)</x:f>
        <x:v>31.70817</x:v>
      </x:c>
    </x:row>
    <x:row r="24">
      <x:c r="A24" s="2" t="str">
        <x:v>Excess FCF term sweep</x:v>
      </x:c>
      <x:c r="B24" s="2"/>
      <x:c r="C24" s="2"/>
      <x:c r="D24" s="2" t="n">
        <x:f>MIN(MAX(0,D12-D23),MAX(0,D22-D23)*Assumptions!$B$15)</x:f>
        <x:v>360.67412446000003</x:v>
      </x:c>
      <x:c r="E24" s="2" t="n">
        <x:f>MIN(MAX(0,E12-E23),MAX(0,E22-E23)*Assumptions!$B$15)</x:f>
        <x:v>415.1622389979259</x:v>
      </x:c>
      <x:c r="F24" s="2" t="n">
        <x:f>MIN(MAX(0,F12-F23),MAX(0,F22-F23)*Assumptions!$B$15)</x:f>
        <x:v>473.97682724505717</x:v>
      </x:c>
      <x:c r="G24" s="2" t="n">
        <x:f>MIN(MAX(0,G12-G23),MAX(0,G22-G23)*Assumptions!$B$15)</x:f>
        <x:v>534.7529978825686</x:v>
      </x:c>
      <x:c r="H24" s="2" t="n">
        <x:f>MIN(MAX(0,H12-H23),MAX(0,H22-H23)*Assumptions!$B$15)</x:f>
        <x:v>600.3125656688293</x:v>
      </x:c>
    </x:row>
    <x:row r="25">
      <x:c r="A25" s="28" t="str">
        <x:v>Total annual debt repayments</x:v>
      </x:c>
      <x:c r="B25" s="28"/>
      <x:c r="C25" s="28"/>
      <x:c r="D25" s="28" t="n">
        <x:f>SUM(D23:D24)</x:f>
        <x:v>392.38229446</x:v>
      </x:c>
      <x:c r="E25" s="28" t="n">
        <x:f>SUM(E23:E24)</x:f>
        <x:v>446.8704089979259</x:v>
      </x:c>
      <x:c r="F25" s="28" t="n">
        <x:f>SUM(F23:F24)</x:f>
        <x:v>505.68499724505716</x:v>
      </x:c>
      <x:c r="G25" s="28" t="n">
        <x:f>SUM(G23:G24)</x:f>
        <x:v>566.4611678825686</x:v>
      </x:c>
      <x:c r="H25" s="28" t="n">
        <x:f>SUM(H23:H24)</x:f>
        <x:v>632.0207356688293</x:v>
      </x:c>
    </x:row>
    <x:row r="26">
      <x:c r="A26" s="2" t="str">
        <x:v>Closing term loan balance</x:v>
      </x:c>
      <x:c r="B26" s="2"/>
      <x:c r="C26" s="2"/>
      <x:c r="D26" s="2" t="n">
        <x:f>D12-D25</x:f>
        <x:v>2778.43470554</x:v>
      </x:c>
      <x:c r="E26" s="2" t="n">
        <x:f>E12-E25</x:f>
        <x:v>2331.564296542074</x:v>
      </x:c>
      <x:c r="F26" s="2" t="n">
        <x:f>F12-F25</x:f>
        <x:v>1825.8792992970166</x:v>
      </x:c>
      <x:c r="G26" s="2" t="n">
        <x:f>G12-G25</x:f>
        <x:v>1259.418131414448</x:v>
      </x:c>
      <x:c r="H26" s="2" t="n">
        <x:f>H12-H25</x:f>
        <x:v>627.3973957456187</x:v>
      </x:c>
    </x:row>
    <x:row r="27">
      <x:c r="A27" s="2" t="str">
        <x:v>Closing senior notes balance</x:v>
      </x:c>
      <x:c r="B27" s="2"/>
      <x:c r="C27" s="2"/>
      <x:c r="D27" s="2" t="n">
        <x:f>D13</x:f>
        <x:v>1585.4085</x:v>
      </x:c>
      <x:c r="E27" s="2" t="n">
        <x:f>E13</x:f>
        <x:v>1585.4085</x:v>
      </x:c>
      <x:c r="F27" s="2" t="n">
        <x:f>F13</x:f>
        <x:v>1585.4085</x:v>
      </x:c>
      <x:c r="G27" s="2" t="n">
        <x:f>G13</x:f>
        <x:v>1585.4085</x:v>
      </x:c>
      <x:c r="H27" s="2" t="n">
        <x:f>H13</x:f>
        <x:v>1585.4085</x:v>
      </x:c>
    </x:row>
    <x:row r="28">
      <x:c r="A28" s="28" t="str">
        <x:v>Closing funded debt</x:v>
      </x:c>
      <x:c r="B28" s="28"/>
      <x:c r="C28" s="28"/>
      <x:c r="D28" s="28" t="n">
        <x:f>SUM(D26:D27)</x:f>
        <x:v>4363.84320554</x:v>
      </x:c>
      <x:c r="E28" s="28" t="n">
        <x:f>SUM(E26:E27)</x:f>
        <x:v>3916.972796542074</x:v>
      </x:c>
      <x:c r="F28" s="28" t="n">
        <x:f>SUM(F26:F27)</x:f>
        <x:v>3411.2877992970166</x:v>
      </x:c>
      <x:c r="G28" s="28" t="n">
        <x:f>SUM(G26:G27)</x:f>
        <x:v>2844.826631414448</x:v>
      </x:c>
      <x:c r="H28" s="28" t="n">
        <x:f>SUM(H26:H27)</x:f>
        <x:v>2212.8058957456187</x:v>
      </x:c>
    </x:row>
    <x:row r="29">
      <x:c r="A29" s="2" t="str">
        <x:v>Opening cash</x:v>
      </x:c>
      <x:c r="B29" s="2"/>
      <x:c r="C29" s="2"/>
      <x:c r="D29" s="2" t="n">
        <x:f>Transaction!$B$22</x:f>
        <x:v>500</x:v>
      </x:c>
      <x:c r="E29" s="2" t="n">
        <x:f>D31</x:f>
        <x:v>590.168531115</x:v>
      </x:c>
      <x:c r="F29" s="2" t="n">
        <x:f>E31</x:f>
        <x:v>693.9590908644814</x:v>
      </x:c>
      <x:c r="G29" s="2" t="n">
        <x:f>F31</x:f>
        <x:v>812.4532976757456</x:v>
      </x:c>
      <x:c r="H29" s="2" t="n">
        <x:f>G31</x:f>
        <x:v>946.1415471463877</x:v>
      </x:c>
    </x:row>
    <x:row r="30">
      <x:c r="A30" s="2" t="str">
        <x:v>Retained free cash flow</x:v>
      </x:c>
      <x:c r="B30" s="2"/>
      <x:c r="C30" s="2"/>
      <x:c r="D30" s="2" t="n">
        <x:f>D22-D25</x:f>
        <x:v>90.16853111499995</x:v>
      </x:c>
      <x:c r="E30" s="2" t="n">
        <x:f>E22-E25</x:f>
        <x:v>103.79055974948142</x:v>
      </x:c>
      <x:c r="F30" s="2" t="n">
        <x:f>F22-F25</x:f>
        <x:v>118.49420681126423</x:v>
      </x:c>
      <x:c r="G30" s="2" t="n">
        <x:f>G22-G25</x:f>
        <x:v>133.68824947064206</x:v>
      </x:c>
      <x:c r="H30" s="2" t="n">
        <x:f>H22-H25</x:f>
        <x:v>150.07814141720735</x:v>
      </x:c>
    </x:row>
    <x:row r="31">
      <x:c r="A31" s="28" t="str">
        <x:v>Closing cash</x:v>
      </x:c>
      <x:c r="B31" s="28"/>
      <x:c r="C31" s="28"/>
      <x:c r="D31" s="28" t="n">
        <x:f>SUM(D29:D30)</x:f>
        <x:v>590.168531115</x:v>
      </x:c>
      <x:c r="E31" s="28" t="n">
        <x:f>SUM(E29:E30)</x:f>
        <x:v>693.9590908644814</x:v>
      </x:c>
      <x:c r="F31" s="28" t="n">
        <x:f>SUM(F29:F30)</x:f>
        <x:v>812.4532976757456</x:v>
      </x:c>
      <x:c r="G31" s="28" t="n">
        <x:f>SUM(G29:G30)</x:f>
        <x:v>946.1415471463877</x:v>
      </x:c>
      <x:c r="H31" s="28" t="n">
        <x:f>SUM(H29:H30)</x:f>
        <x:v>1096.219688563595</x:v>
      </x:c>
    </x:row>
    <x:row r="32">
      <x:c r="A32" s="28" t="str">
        <x:v>Net debt</x:v>
      </x:c>
      <x:c r="B32" s="28"/>
      <x:c r="C32" s="28"/>
      <x:c r="D32" s="28" t="n">
        <x:f>D28-D31</x:f>
        <x:v>3773.674674425</x:v>
      </x:c>
      <x:c r="E32" s="28" t="n">
        <x:f>E28-E31</x:f>
        <x:v>3223.0137056775925</x:v>
      </x:c>
      <x:c r="F32" s="28" t="n">
        <x:f>F28-F31</x:f>
        <x:v>2598.834501621271</x:v>
      </x:c>
      <x:c r="G32" s="28" t="n">
        <x:f>G28-G31</x:f>
        <x:v>1898.6850842680603</x:v>
      </x:c>
      <x:c r="H32" s="28" t="n">
        <x:f>H28-H31</x:f>
        <x:v>1116.5862071820238</x:v>
      </x:c>
    </x:row>
    <x:row r="33">
      <x:c r="A33" s="2" t="str">
        <x:v>EBITDA / cash interest coverage</x:v>
      </x:c>
      <x:c r="B33" s="2"/>
      <x:c r="C33" s="2"/>
      <x:c r="D33" s="14" t="n">
        <x:f>D9/D16</x:f>
        <x:v>2.6777218734906016</x:v>
      </x:c>
      <x:c r="E33" s="14" t="n">
        <x:f>E9/E16</x:f>
        <x:v>3.057571963333713</x:v>
      </x:c>
      <x:c r="F33" s="14" t="n">
        <x:f>F9/F16</x:f>
        <x:v>3.564630596647549</x:v>
      </x:c>
      <x:c r="G33" s="14" t="n">
        <x:f>G9/G16</x:f>
        <x:v>4.258697981079874</x:v>
      </x:c>
      <x:c r="H33" s="14" t="n">
        <x:f>H9/H16</x:f>
        <x:v>5.294240270721706</x:v>
      </x:c>
    </x:row>
    <x:row r="34">
      <x:c r="A34" s="2" t="str">
        <x:v>Gross debt / EBITDA</x:v>
      </x:c>
      <x:c r="B34" s="2"/>
      <x:c r="C34" s="2"/>
      <x:c r="D34" s="14" t="n">
        <x:f>D28/D9</x:f>
        <x:v>3.8789717382577775</x:v>
      </x:c>
      <x:c r="E34" s="14" t="n">
        <x:f>E28/E9</x:f>
        <x:v>3.3121424616247728</x:v>
      </x:c>
      <x:c r="F34" s="14" t="n">
        <x:f>F28/F9</x:f>
        <x:v>2.7436668283835206</x:v>
      </x:c>
      <x:c r="G34" s="14" t="n">
        <x:f>G28/G9</x:f>
        <x:v>2.184350074604844</x:v>
      </x:c>
      <x:c r="H34" s="14" t="n">
        <x:f>H28/H9</x:f>
        <x:v>1.6221288204127033</x:v>
      </x:c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9" t="str">
        <x:v>EXIT &amp; SPONSOR RETURNS</x:v>
      </x:c>
      <x:c r="B36" s="9"/>
      <x:c r="C36" s="9"/>
      <x:c r="D36" s="9"/>
      <x:c r="E36" s="9"/>
      <x:c r="F36" s="9"/>
      <x:c r="G36" s="9"/>
      <x:c r="H36" s="9"/>
    </x:row>
    <x:row r="37">
      <x:c r="A37" s="2" t="str">
        <x:v>Assumed exit EV / EBITDA</x:v>
      </x:c>
      <x:c r="B37" s="2"/>
      <x:c r="C37" s="2"/>
      <x:c r="D37" s="14" t="n">
        <x:f>Assumptions!$C$32</x:f>
        <x:v>7.5</x:v>
      </x:c>
      <x:c r="E37" s="14" t="n">
        <x:f>Assumptions!$C$32</x:f>
        <x:v>7.5</x:v>
      </x:c>
      <x:c r="F37" s="14" t="n">
        <x:f>Assumptions!$C$32</x:f>
        <x:v>7.5</x:v>
      </x:c>
      <x:c r="G37" s="14" t="n">
        <x:f>Assumptions!$C$32</x:f>
        <x:v>7.5</x:v>
      </x:c>
      <x:c r="H37" s="14" t="n">
        <x:f>Assumptions!$C$32</x:f>
        <x:v>7.5</x:v>
      </x:c>
    </x:row>
    <x:row r="38">
      <x:c r="A38" s="2" t="str">
        <x:v>Exit enterprise value</x:v>
      </x:c>
      <x:c r="B38" s="2"/>
      <x:c r="C38" s="2"/>
      <x:c r="D38" s="2" t="n">
        <x:f>D9*D37</x:f>
        <x:v>8437.5</x:v>
      </x:c>
      <x:c r="E38" s="2" t="n">
        <x:f>E9*E37</x:f>
        <x:v>8869.575000000003</x:v>
      </x:c>
      <x:c r="F38" s="2" t="n">
        <x:f>F9*F37</x:f>
        <x:v>9324.987360000003</x:v>
      </x:c>
      <x:c r="G38" s="2" t="n">
        <x:f>G9*G37</x:f>
        <x:v>9767.756544000003</x:v>
      </x:c>
      <x:c r="H38" s="2" t="n">
        <x:f>H9*H37</x:f>
        <x:v>10231.027282944002</x:v>
      </x:c>
    </x:row>
    <x:row r="39">
      <x:c r="A39" s="28" t="str">
        <x:v>Exit sponsor equity</x:v>
      </x:c>
      <x:c r="B39" s="28"/>
      <x:c r="C39" s="28"/>
      <x:c r="D39" s="28" t="n">
        <x:f>D38-D28+D31</x:f>
        <x:v>4663.8253255750005</x:v>
      </x:c>
      <x:c r="E39" s="28" t="n">
        <x:f>E38-E28+E31</x:f>
        <x:v>5646.5612943224105</x:v>
      </x:c>
      <x:c r="F39" s="28" t="n">
        <x:f>F38-F28+F31</x:f>
        <x:v>6726.152858378731</x:v>
      </x:c>
      <x:c r="G39" s="28" t="n">
        <x:f>G38-G28+G31</x:f>
        <x:v>7869.071459731944</x:v>
      </x:c>
      <x:c r="H39" s="28" t="n">
        <x:f>H38-H28+H31</x:f>
        <x:v>9114.441075761977</x:v>
      </x:c>
    </x:row>
    <x:row r="40">
      <x:c r="A40" s="2" t="str">
        <x:v>Sponsor equity at entry</x:v>
      </x:c>
      <x:c r="B40" s="2"/>
      <x:c r="C40" s="2"/>
      <x:c r="D40" s="2" t="n">
        <x:f>Transaction!$B$35</x:f>
        <x:v>4212.130345</x:v>
      </x:c>
      <x:c r="E40" s="2" t="n">
        <x:f>Transaction!$B$35</x:f>
        <x:v>4212.130345</x:v>
      </x:c>
      <x:c r="F40" s="2" t="n">
        <x:f>Transaction!$B$35</x:f>
        <x:v>4212.130345</x:v>
      </x:c>
      <x:c r="G40" s="2" t="n">
        <x:f>Transaction!$B$35</x:f>
        <x:v>4212.130345</x:v>
      </x:c>
      <x:c r="H40" s="2" t="n">
        <x:f>Transaction!$B$35</x:f>
        <x:v>4212.130345</x:v>
      </x:c>
    </x:row>
    <x:row r="41">
      <x:c r="A41" s="28" t="str">
        <x:v>Sponsor MOIC</x:v>
      </x:c>
      <x:c r="B41" s="28"/>
      <x:c r="C41" s="28"/>
      <x:c r="D41" s="30" t="n">
        <x:f>D39/D40</x:f>
        <x:v>1.1072367053197165</x:v>
      </x:c>
      <x:c r="E41" s="30" t="n">
        <x:f>E39/E40</x:f>
        <x:v>1.3405476164870227</x:v>
      </x:c>
      <x:c r="F41" s="30" t="n">
        <x:f>F39/F40</x:f>
        <x:v>1.5968529716472324</x:v>
      </x:c>
      <x:c r="G41" s="30" t="n">
        <x:f>G39/G40</x:f>
        <x:v>1.8681927706897552</x:v>
      </x:c>
      <x:c r="H41" s="30" t="n">
        <x:f>H39/H40</x:f>
        <x:v>2.163855419759565</x:v>
      </x:c>
    </x:row>
    <x:row r="42">
      <x:c r="A42" s="28" t="str">
        <x:v>Gross sponsor IRR</x:v>
      </x:c>
      <x:c r="B42" s="28"/>
      <x:c r="C42" s="28"/>
      <x:c r="D42" s="32" t="n">
        <x:f>D41^(1/1)-1</x:f>
        <x:v>0.10723670531971652</x:v>
      </x:c>
      <x:c r="E42" s="32" t="n">
        <x:f>E41^(1/2)-1</x:f>
        <x:v>0.15782020041413292</x:v>
      </x:c>
      <x:c r="F42" s="32" t="n">
        <x:f>F41^(1/3)-1</x:f>
        <x:v>0.16883976141672408</x:v>
      </x:c>
      <x:c r="G42" s="32" t="n">
        <x:f>G41^(1/4)-1</x:f>
        <x:v>0.1691101252274314</x:v>
      </x:c>
      <x:c r="H42" s="32" t="n">
        <x:f>H41^(1/5)-1</x:f>
        <x:v>0.1669322647715863</x:v>
      </x:c>
    </x:row>
    <x:row r="43">
      <x:c r="A43" s="2" t="str">
        <x:v>IRR less 20% hurdle</x:v>
      </x:c>
      <x:c r="B43" s="2"/>
      <x:c r="C43" s="2"/>
      <x:c r="D43" s="12" t="n">
        <x:f>D42-Assumptions!$B$22</x:f>
        <x:v>-0.09276329468028349</x:v>
      </x:c>
      <x:c r="E43" s="12" t="n">
        <x:f>E42-Assumptions!$B$22</x:f>
        <x:v>-0.042179799585867095</x:v>
      </x:c>
      <x:c r="F43" s="12" t="n">
        <x:f>F42-Assumptions!$B$22</x:f>
        <x:v>-0.031160238583275934</x:v>
      </x:c>
      <x:c r="G43" s="12" t="n">
        <x:f>G42-Assumptions!$B$22</x:f>
        <x:v>-0.030889874772568604</x:v>
      </x:c>
      <x:c r="H43" s="12" t="n">
        <x:f>H42-Assumptions!$B$22</x:f>
        <x:v>-0.03306773522841372</x:v>
      </x:c>
    </x:row>
    <x:row r="44">
      <x:c r="A44" s="2" t="str">
        <x:v>Cash bridge check</x:v>
      </x:c>
      <x:c r="B44" s="2"/>
      <x:c r="C44" s="2"/>
      <x:c r="D44" s="2" t="n">
        <x:f>D31-D29-D30</x:f>
        <x:v>0</x:v>
      </x:c>
      <x:c r="E44" s="2" t="n">
        <x:f>E31-E29-E30</x:f>
        <x:v>0</x:v>
      </x:c>
      <x:c r="F44" s="2" t="n">
        <x:f>F31-F29-F30</x:f>
        <x:v>0</x:v>
      </x:c>
      <x:c r="G44" s="2" t="n">
        <x:f>G31-G29-G30</x:f>
        <x:v>0</x:v>
      </x:c>
      <x:c r="H44" s="2" t="n">
        <x:f>H31-H29-H30</x:f>
        <x:v>-1.1368683772161603e-13</x:v>
      </x:c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 t="str">
        <x:v>Cash interest on beginning-of-year debt; no revolver, M&amp;A outlays, OID, or tax shield limitation modeled.</x:v>
      </x:c>
      <x:c r="B47" s="2"/>
      <x:c r="C47" s="2"/>
      <x:c r="D47" s="2"/>
      <x:c r="E47" s="2"/>
      <x:c r="F47" s="2"/>
      <x:c r="G47" s="2"/>
      <x:c r="H47" s="2"/>
    </x:row>
    <x:row r="48">
      <x:c r="A48" s="2" t="str">
        <x:v>All non-mandatory debt paydown applies only to the first-lien term loan; senior notes mature as a bullet at exit.</x:v>
      </x:c>
      <x:c r="B48" s="2"/>
      <x:c r="C48" s="2"/>
      <x:c r="D48" s="2"/>
      <x:c r="E48" s="2"/>
      <x:c r="F48" s="2"/>
      <x:c r="G48" s="2"/>
      <x:c r="H48" s="2"/>
    </x:row>
    <x:row r="49">
      <x:c r="A49" s="2" t="str">
        <x:v>Closing cash accumulation may conceal intrayear seasonality / minimum cash needs; confirm with monthly liquidity diligence.</x:v>
      </x:c>
      <x:c r="B49" s="2"/>
      <x:c r="C49" s="2"/>
      <x:c r="D49" s="2"/>
      <x:c r="E49" s="2"/>
      <x:c r="F49" s="2"/>
      <x:c r="G49" s="2"/>
      <x:c r="H49" s="2"/>
    </x:row>
  </x:sheetData>
  <x:mergeCells>
    <x:mergeCell ref="A1:H2"/>
    <x:mergeCell ref="A5:H5"/>
    <x:mergeCell ref="A11:H11"/>
    <x:mergeCell ref="A19:H19"/>
    <x:mergeCell ref="A36:H3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5" t="str">
        <x:v>UPSIDE CASE | 5-YEAR LBO CASH FLOW AND DEBT SCHEDULE ($ MILLIONS)</x:v>
      </x:c>
      <x:c r="B1" s="5"/>
      <x:c r="C1" s="5"/>
      <x:c r="D1" s="5"/>
      <x:c r="E1" s="5"/>
      <x:c r="F1" s="5"/>
      <x:c r="G1" s="5"/>
      <x:c r="H1" s="5"/>
    </x:row>
    <x:row r="2" ht="23" customHeight="1">
      <x:c r="A2" s="5"/>
      <x:c r="B2" s="5"/>
      <x:c r="C2" s="5"/>
      <x:c r="D2" s="5"/>
      <x:c r="E2" s="5"/>
      <x:c r="F2" s="5"/>
      <x:c r="G2" s="5"/>
      <x:c r="H2" s="5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 t="str">
        <x:v>FY2027</x:v>
      </x:c>
      <x:c r="E4" s="2" t="str">
        <x:v>FY2028</x:v>
      </x:c>
      <x:c r="F4" s="2" t="str">
        <x:v>FY2029</x:v>
      </x:c>
      <x:c r="G4" s="2" t="str">
        <x:v>FY2030</x:v>
      </x:c>
      <x:c r="H4" s="2" t="str">
        <x:v>FY2031</x:v>
      </x:c>
    </x:row>
    <x:row r="5" ht="23" customHeight="1">
      <x:c r="A5" s="9" t="str">
        <x:v>OPERATING PROJECTIONS</x:v>
      </x:c>
      <x:c r="B5" s="9"/>
      <x:c r="C5" s="9"/>
      <x:c r="D5" s="9"/>
      <x:c r="E5" s="9"/>
      <x:c r="F5" s="9"/>
      <x:c r="G5" s="9"/>
      <x:c r="H5" s="9"/>
    </x:row>
    <x:row r="6">
      <x:c r="A6" s="2" t="str">
        <x:v>Total revenue</x:v>
      </x:c>
      <x:c r="B6" s="2"/>
      <x:c r="C6" s="2"/>
      <x:c r="D6" s="2" t="n">
        <x:f>Assumptions!$B$26*(1+Assumptions!$D$33)</x:f>
        <x:v>4182.11552</x:v>
      </x:c>
      <x:c r="E6" s="2" t="n">
        <x:f>D6*(1+Assumptions!$D$34)</x:f>
        <x:v>4453.9530288</x:v>
      </x:c>
      <x:c r="F6" s="2" t="n">
        <x:f>E6*(1+Assumptions!$D$35)</x:f>
        <x:v>4721.190210528</x:v>
      </x:c>
      <x:c r="G6" s="2" t="n">
        <x:f>F6*(1+Assumptions!$D$36)</x:f>
        <x:v>5004.46162315968</x:v>
      </x:c>
      <x:c r="H6" s="2" t="n">
        <x:f>G6*(1+Assumptions!$D$37)</x:f>
        <x:v>5304.7293205492615</x:v>
      </x:c>
    </x:row>
    <x:row r="7">
      <x:c r="A7" s="2" t="str">
        <x:v>Revenue growth</x:v>
      </x:c>
      <x:c r="B7" s="2"/>
      <x:c r="C7" s="2"/>
      <x:c r="D7" s="12" t="n">
        <x:f>Assumptions!$D$33</x:f>
        <x:v>0.06</x:v>
      </x:c>
      <x:c r="E7" s="12" t="n">
        <x:f>Assumptions!$D$34</x:f>
        <x:v>0.065</x:v>
      </x:c>
      <x:c r="F7" s="12" t="n">
        <x:f>Assumptions!$D$35</x:f>
        <x:v>0.06</x:v>
      </x:c>
      <x:c r="G7" s="12" t="n">
        <x:f>Assumptions!$D$36</x:f>
        <x:v>0.06</x:v>
      </x:c>
      <x:c r="H7" s="12" t="n">
        <x:f>Assumptions!$D$37</x:f>
        <x:v>0.06</x:v>
      </x:c>
    </x:row>
    <x:row r="8">
      <x:c r="A8" s="2" t="str">
        <x:v>EBITDA margin</x:v>
      </x:c>
      <x:c r="B8" s="2"/>
      <x:c r="C8" s="2"/>
      <x:c r="D8" s="12" t="n">
        <x:f>Assumptions!$D$39</x:f>
        <x:v>0.277</x:v>
      </x:c>
      <x:c r="E8" s="12" t="n">
        <x:f>Assumptions!$D$40</x:f>
        <x:v>0.284</x:v>
      </x:c>
      <x:c r="F8" s="12" t="n">
        <x:f>Assumptions!$D$41</x:f>
        <x:v>0.29</x:v>
      </x:c>
      <x:c r="G8" s="12" t="n">
        <x:f>Assumptions!$D$42</x:f>
        <x:v>0.295</x:v>
      </x:c>
      <x:c r="H8" s="12" t="n">
        <x:f>Assumptions!$D$43</x:f>
        <x:v>0.3</x:v>
      </x:c>
    </x:row>
    <x:row r="9">
      <x:c r="A9" s="28" t="str">
        <x:v>EBITDA</x:v>
      </x:c>
      <x:c r="B9" s="28"/>
      <x:c r="C9" s="28"/>
      <x:c r="D9" s="28" t="n">
        <x:f>D6*D8</x:f>
        <x:v>1158.4459990400003</x:v>
      </x:c>
      <x:c r="E9" s="28" t="n">
        <x:f>E6*E8</x:f>
        <x:v>1264.9226601791997</x:v>
      </x:c>
      <x:c r="F9" s="28" t="n">
        <x:f>F6*F8</x:f>
        <x:v>1369.1451610531199</x:v>
      </x:c>
      <x:c r="G9" s="28" t="n">
        <x:f>G6*G8</x:f>
        <x:v>1476.3161788321056</x:v>
      </x:c>
      <x:c r="H9" s="28" t="n">
        <x:f>H6*H8</x:f>
        <x:v>1591.4187961647783</x:v>
      </x:c>
    </x:row>
    <x:row r="10">
      <x:c r="A10" s="2" t="str">
        <x:v>Depreciation and amortization</x:v>
      </x:c>
      <x:c r="B10" s="2"/>
      <x:c r="C10" s="2"/>
      <x:c r="D10" s="2" t="n">
        <x:f>D6*Assumptions!$B$18</x:f>
        <x:v>129.64558112</x:v>
      </x:c>
      <x:c r="E10" s="2" t="n">
        <x:f>E6*Assumptions!$B$18</x:f>
        <x:v>138.07254389279998</x:v>
      </x:c>
      <x:c r="F10" s="2" t="n">
        <x:f>F6*Assumptions!$B$18</x:f>
        <x:v>146.356896526368</x:v>
      </x:c>
      <x:c r="G10" s="2" t="n">
        <x:f>G6*Assumptions!$B$18</x:f>
        <x:v>155.13831031795007</x:v>
      </x:c>
      <x:c r="H10" s="2" t="n">
        <x:f>H6*Assumptions!$B$18</x:f>
        <x:v>164.4466089370271</x:v>
      </x:c>
    </x:row>
    <x:row r="11" ht="23" customHeight="1">
      <x:c r="A11" s="9" t="str">
        <x:v>DEBT SERVICE / TAXES</x:v>
      </x:c>
      <x:c r="B11" s="9"/>
      <x:c r="C11" s="9"/>
      <x:c r="D11" s="9"/>
      <x:c r="E11" s="9"/>
      <x:c r="F11" s="9"/>
      <x:c r="G11" s="9"/>
      <x:c r="H11" s="9"/>
    </x:row>
    <x:row r="12">
      <x:c r="A12" s="2" t="str">
        <x:v>Opening term loan</x:v>
      </x:c>
      <x:c r="B12" s="2"/>
      <x:c r="C12" s="2"/>
      <x:c r="D12" s="2" t="n">
        <x:f>Transaction!$B$17</x:f>
        <x:v>3170.817</x:v>
      </x:c>
      <x:c r="E12" s="2" t="n">
        <x:f>D26</x:f>
        <x:v>2758.92015018128</x:v>
      </x:c>
      <x:c r="F12" s="2" t="n">
        <x:f>E26</x:f>
        <x:v>2263.3044349075494</x:v>
      </x:c>
      <x:c r="G12" s="2" t="n">
        <x:f>F26</x:f>
        <x:v>1680.4472800873414</x:v>
      </x:c>
      <x:c r="H12" s="2" t="n">
        <x:f>G26</x:f>
        <x:v>1004.3899680542975</x:v>
      </x:c>
    </x:row>
    <x:row r="13">
      <x:c r="A13" s="2" t="str">
        <x:v>Opening senior notes</x:v>
      </x:c>
      <x:c r="B13" s="2"/>
      <x:c r="C13" s="2"/>
      <x:c r="D13" s="2" t="n">
        <x:f>Transaction!$B$18</x:f>
        <x:v>1585.4085</x:v>
      </x:c>
      <x:c r="E13" s="2" t="n">
        <x:f>D27</x:f>
        <x:v>1585.4085</x:v>
      </x:c>
      <x:c r="F13" s="2" t="n">
        <x:f>E27</x:f>
        <x:v>1585.4085</x:v>
      </x:c>
      <x:c r="G13" s="2" t="n">
        <x:f>F27</x:f>
        <x:v>1585.4085</x:v>
      </x:c>
      <x:c r="H13" s="2" t="n">
        <x:f>G27</x:f>
        <x:v>1585.4085</x:v>
      </x:c>
    </x:row>
    <x:row r="14">
      <x:c r="A14" s="2" t="str">
        <x:v>Term loan interest expense</x:v>
      </x:c>
      <x:c r="B14" s="2"/>
      <x:c r="C14" s="2"/>
      <x:c r="D14" s="2" t="n">
        <x:f>D12*Assumptions!$B$12</x:f>
        <x:v>269.519445</x:v>
      </x:c>
      <x:c r="E14" s="2" t="n">
        <x:f>E12*Assumptions!$B$12</x:f>
        <x:v>234.5082127654088</x:v>
      </x:c>
      <x:c r="F14" s="2" t="n">
        <x:f>F12*Assumptions!$B$12</x:f>
        <x:v>192.38087696714172</x:v>
      </x:c>
      <x:c r="G14" s="2" t="n">
        <x:f>G12*Assumptions!$B$12</x:f>
        <x:v>142.83801880742402</x:v>
      </x:c>
      <x:c r="H14" s="2" t="n">
        <x:f>H12*Assumptions!$B$12</x:f>
        <x:v>85.37314728461529</x:v>
      </x:c>
    </x:row>
    <x:row r="15">
      <x:c r="A15" s="2" t="str">
        <x:v>Senior notes interest expense</x:v>
      </x:c>
      <x:c r="B15" s="2"/>
      <x:c r="C15" s="2"/>
      <x:c r="D15" s="2" t="n">
        <x:f>D13*Assumptions!$B$13</x:f>
        <x:v>150.6138075</x:v>
      </x:c>
      <x:c r="E15" s="2" t="n">
        <x:f>E13*Assumptions!$B$13</x:f>
        <x:v>150.6138075</x:v>
      </x:c>
      <x:c r="F15" s="2" t="n">
        <x:f>F13*Assumptions!$B$13</x:f>
        <x:v>150.6138075</x:v>
      </x:c>
      <x:c r="G15" s="2" t="n">
        <x:f>G13*Assumptions!$B$13</x:f>
        <x:v>150.6138075</x:v>
      </x:c>
      <x:c r="H15" s="2" t="n">
        <x:f>H13*Assumptions!$B$13</x:f>
        <x:v>150.6138075</x:v>
      </x:c>
    </x:row>
    <x:row r="16">
      <x:c r="A16" s="28" t="str">
        <x:v>Total interest</x:v>
      </x:c>
      <x:c r="B16" s="28"/>
      <x:c r="C16" s="28"/>
      <x:c r="D16" s="28" t="n">
        <x:f>SUM(D14:D15)</x:f>
        <x:v>420.1332525</x:v>
      </x:c>
      <x:c r="E16" s="28" t="n">
        <x:f>SUM(E14:E15)</x:f>
        <x:v>385.1220202654088</x:v>
      </x:c>
      <x:c r="F16" s="28" t="n">
        <x:f>SUM(F14:F15)</x:f>
        <x:v>342.9946844671417</x:v>
      </x:c>
      <x:c r="G16" s="28" t="n">
        <x:f>SUM(G14:G15)</x:f>
        <x:v>293.451826307424</x:v>
      </x:c>
      <x:c r="H16" s="28" t="n">
        <x:f>SUM(H14:H15)</x:f>
        <x:v>235.9869547846153</x:v>
      </x:c>
    </x:row>
    <x:row r="17">
      <x:c r="A17" s="2" t="str">
        <x:v>Pretax income proxy (EBIT - interest)</x:v>
      </x:c>
      <x:c r="B17" s="2"/>
      <x:c r="C17" s="2"/>
      <x:c r="D17" s="2" t="n">
        <x:f>D9-D10-D16</x:f>
        <x:v>608.6671654200002</x:v>
      </x:c>
      <x:c r="E17" s="2" t="n">
        <x:f>E9-E10-E16</x:f>
        <x:v>741.728096020991</x:v>
      </x:c>
      <x:c r="F17" s="2" t="n">
        <x:f>F9-F10-F16</x:f>
        <x:v>879.7935800596101</x:v>
      </x:c>
      <x:c r="G17" s="2" t="n">
        <x:f>G9-G10-G16</x:f>
        <x:v>1027.7260422067316</x:v>
      </x:c>
      <x:c r="H17" s="2" t="n">
        <x:f>H9-H10-H16</x:f>
        <x:v>1190.9852324431358</x:v>
      </x:c>
    </x:row>
    <x:row r="18">
      <x:c r="A18" s="2" t="str">
        <x:v>Cash income taxes</x:v>
      </x:c>
      <x:c r="B18" s="2"/>
      <x:c r="C18" s="2"/>
      <x:c r="D18" s="2" t="n">
        <x:f>MAX(0,D17*Assumptions!$B$17)</x:f>
        <x:v>139.99344804660004</x:v>
      </x:c>
      <x:c r="E18" s="2" t="n">
        <x:f>MAX(0,E17*Assumptions!$B$17)</x:f>
        <x:v>170.59746208482792</x:v>
      </x:c>
      <x:c r="F18" s="2" t="n">
        <x:f>MAX(0,F17*Assumptions!$B$17)</x:f>
        <x:v>202.35252341371034</x:v>
      </x:c>
      <x:c r="G18" s="2" t="n">
        <x:f>MAX(0,G17*Assumptions!$B$17)</x:f>
        <x:v>236.37698970754826</x:v>
      </x:c>
      <x:c r="H18" s="2" t="n">
        <x:f>MAX(0,H17*Assumptions!$B$17)</x:f>
        <x:v>273.9266034619213</x:v>
      </x:c>
    </x:row>
    <x:row r="19" ht="23" customHeight="1">
      <x:c r="A19" s="9" t="str">
        <x:v>FREE CASH FLOW AND DELEVERAGING</x:v>
      </x:c>
      <x:c r="B19" s="9"/>
      <x:c r="C19" s="9"/>
      <x:c r="D19" s="9"/>
      <x:c r="E19" s="9"/>
      <x:c r="F19" s="9"/>
      <x:c r="G19" s="9"/>
      <x:c r="H19" s="9"/>
    </x:row>
    <x:row r="20">
      <x:c r="A20" s="2" t="str">
        <x:v>Capital expenditures</x:v>
      </x:c>
      <x:c r="B20" s="2"/>
      <x:c r="C20" s="2"/>
      <x:c r="D20" s="2" t="n">
        <x:f>D6*Assumptions!$B$19</x:f>
        <x:v>87.82442592000001</x:v>
      </x:c>
      <x:c r="E20" s="2" t="n">
        <x:f>E6*Assumptions!$B$19</x:f>
        <x:v>93.5330136048</x:v>
      </x:c>
      <x:c r="F20" s="2" t="n">
        <x:f>F6*Assumptions!$B$19</x:f>
        <x:v>99.144994421088</x:v>
      </x:c>
      <x:c r="G20" s="2" t="n">
        <x:f>G6*Assumptions!$B$19</x:f>
        <x:v>105.0936940863533</x:v>
      </x:c>
      <x:c r="H20" s="2" t="n">
        <x:f>H6*Assumptions!$B$19</x:f>
        <x:v>111.3993157315345</x:v>
      </x:c>
    </x:row>
    <x:row r="21">
      <x:c r="A21" s="2" t="str">
        <x:v>Incremental working capital used</x:v>
      </x:c>
      <x:c r="B21" s="2"/>
      <x:c r="C21" s="2"/>
      <x:c r="D21" s="2" t="n">
        <x:f>MAX(0,(D6-Assumptions!$B$26)*Assumptions!$B$20)</x:f>
        <x:v>3.550852800000007</x:v>
      </x:c>
      <x:c r="E21" s="2" t="n">
        <x:f>MAX(0,(E6-D6)*Assumptions!$B$20)</x:f>
        <x:v>4.07756263199999</x:v>
      </x:c>
      <x:c r="F21" s="2" t="n">
        <x:f>MAX(0,(F6-E6)*Assumptions!$B$20)</x:f>
        <x:v>4.008557725919999</x:v>
      </x:c>
      <x:c r="G21" s="2" t="n">
        <x:f>MAX(0,(G6-F6)*Assumptions!$B$20)</x:f>
        <x:v>4.249071189475208</x:v>
      </x:c>
      <x:c r="H21" s="2" t="n">
        <x:f>MAX(0,(H6-G6)*Assumptions!$B$20)</x:f>
        <x:v>4.50401546084372</x:v>
      </x:c>
    </x:row>
    <x:row r="22">
      <x:c r="A22" s="28" t="str">
        <x:v>Free cash flow available</x:v>
      </x:c>
      <x:c r="B22" s="28"/>
      <x:c r="C22" s="28"/>
      <x:c r="D22" s="28" t="n">
        <x:f>D9-D16-D18-D20-D21</x:f>
        <x:v>506.94401977340016</x:v>
      </x:c>
      <x:c r="E22" s="28" t="n">
        <x:f>E9-E16-E18-E20-E21</x:f>
        <x:v>611.5926015921631</x:v>
      </x:c>
      <x:c r="F22" s="28" t="n">
        <x:f>F9-F16-F18-F20-F21</x:f>
        <x:v>720.6444010252599</x:v>
      </x:c>
      <x:c r="G22" s="28" t="n">
        <x:f>G9-G16-G18-G20-G21</x:f>
        <x:v>837.1445975413048</x:v>
      </x:c>
      <x:c r="H22" s="28" t="n">
        <x:f>H9-H16-H18-H20-H21</x:f>
        <x:v>965.6019067258635</x:v>
      </x:c>
    </x:row>
    <x:row r="23">
      <x:c r="A23" s="2" t="str">
        <x:v>Mandatory term repayment</x:v>
      </x:c>
      <x:c r="B23" s="2"/>
      <x:c r="C23" s="2"/>
      <x:c r="D23" s="2" t="n">
        <x:f>MIN(D12,Transaction!$B$17*Assumptions!$B$14)</x:f>
        <x:v>31.70817</x:v>
      </x:c>
      <x:c r="E23" s="2" t="n">
        <x:f>MIN(E12,Transaction!$B$17*Assumptions!$B$14)</x:f>
        <x:v>31.70817</x:v>
      </x:c>
      <x:c r="F23" s="2" t="n">
        <x:f>MIN(F12,Transaction!$B$17*Assumptions!$B$14)</x:f>
        <x:v>31.70817</x:v>
      </x:c>
      <x:c r="G23" s="2" t="n">
        <x:f>MIN(G12,Transaction!$B$17*Assumptions!$B$14)</x:f>
        <x:v>31.70817</x:v>
      </x:c>
      <x:c r="H23" s="2" t="n">
        <x:f>MIN(H12,Transaction!$B$17*Assumptions!$B$14)</x:f>
        <x:v>31.70817</x:v>
      </x:c>
    </x:row>
    <x:row r="24">
      <x:c r="A24" s="2" t="str">
        <x:v>Excess FCF term sweep</x:v>
      </x:c>
      <x:c r="B24" s="2"/>
      <x:c r="C24" s="2"/>
      <x:c r="D24" s="2" t="n">
        <x:f>MIN(MAX(0,D12-D23),MAX(0,D22-D23)*Assumptions!$B$15)</x:f>
        <x:v>380.1886798187202</x:v>
      </x:c>
      <x:c r="E24" s="2" t="n">
        <x:f>MIN(MAX(0,E12-E23),MAX(0,E22-E23)*Assumptions!$B$15)</x:f>
        <x:v>463.9075452737305</x:v>
      </x:c>
      <x:c r="F24" s="2" t="n">
        <x:f>MIN(MAX(0,F12-F23),MAX(0,F22-F23)*Assumptions!$B$15)</x:f>
        <x:v>551.1489848202079</x:v>
      </x:c>
      <x:c r="G24" s="2" t="n">
        <x:f>MIN(MAX(0,G12-G23),MAX(0,G22-G23)*Assumptions!$B$15)</x:f>
        <x:v>644.3491420330439</x:v>
      </x:c>
      <x:c r="H24" s="2" t="n">
        <x:f>MIN(MAX(0,H12-H23),MAX(0,H22-H23)*Assumptions!$B$15)</x:f>
        <x:v>747.1149893806909</x:v>
      </x:c>
    </x:row>
    <x:row r="25">
      <x:c r="A25" s="28" t="str">
        <x:v>Total annual debt repayments</x:v>
      </x:c>
      <x:c r="B25" s="28"/>
      <x:c r="C25" s="28"/>
      <x:c r="D25" s="28" t="n">
        <x:f>SUM(D23:D24)</x:f>
        <x:v>411.89684981872017</x:v>
      </x:c>
      <x:c r="E25" s="28" t="n">
        <x:f>SUM(E23:E24)</x:f>
        <x:v>495.6157152737305</x:v>
      </x:c>
      <x:c r="F25" s="28" t="n">
        <x:f>SUM(F23:F24)</x:f>
        <x:v>582.8571548202079</x:v>
      </x:c>
      <x:c r="G25" s="28" t="n">
        <x:f>SUM(G23:G24)</x:f>
        <x:v>676.0573120330439</x:v>
      </x:c>
      <x:c r="H25" s="28" t="n">
        <x:f>SUM(H23:H24)</x:f>
        <x:v>778.8231593806909</x:v>
      </x:c>
    </x:row>
    <x:row r="26">
      <x:c r="A26" s="2" t="str">
        <x:v>Closing term loan balance</x:v>
      </x:c>
      <x:c r="B26" s="2"/>
      <x:c r="C26" s="2"/>
      <x:c r="D26" s="2" t="n">
        <x:f>D12-D25</x:f>
        <x:v>2758.92015018128</x:v>
      </x:c>
      <x:c r="E26" s="2" t="n">
        <x:f>E12-E25</x:f>
        <x:v>2263.3044349075494</x:v>
      </x:c>
      <x:c r="F26" s="2" t="n">
        <x:f>F12-F25</x:f>
        <x:v>1680.4472800873414</x:v>
      </x:c>
      <x:c r="G26" s="2" t="n">
        <x:f>G12-G25</x:f>
        <x:v>1004.3899680542975</x:v>
      </x:c>
      <x:c r="H26" s="2" t="n">
        <x:f>H12-H25</x:f>
        <x:v>225.5668086736066</x:v>
      </x:c>
    </x:row>
    <x:row r="27">
      <x:c r="A27" s="2" t="str">
        <x:v>Closing senior notes balance</x:v>
      </x:c>
      <x:c r="B27" s="2"/>
      <x:c r="C27" s="2"/>
      <x:c r="D27" s="2" t="n">
        <x:f>D13</x:f>
        <x:v>1585.4085</x:v>
      </x:c>
      <x:c r="E27" s="2" t="n">
        <x:f>E13</x:f>
        <x:v>1585.4085</x:v>
      </x:c>
      <x:c r="F27" s="2" t="n">
        <x:f>F13</x:f>
        <x:v>1585.4085</x:v>
      </x:c>
      <x:c r="G27" s="2" t="n">
        <x:f>G13</x:f>
        <x:v>1585.4085</x:v>
      </x:c>
      <x:c r="H27" s="2" t="n">
        <x:f>H13</x:f>
        <x:v>1585.4085</x:v>
      </x:c>
    </x:row>
    <x:row r="28">
      <x:c r="A28" s="28" t="str">
        <x:v>Closing funded debt</x:v>
      </x:c>
      <x:c r="B28" s="28"/>
      <x:c r="C28" s="28"/>
      <x:c r="D28" s="28" t="n">
        <x:f>SUM(D26:D27)</x:f>
        <x:v>4344.32865018128</x:v>
      </x:c>
      <x:c r="E28" s="28" t="n">
        <x:f>SUM(E26:E27)</x:f>
        <x:v>3848.7129349075494</x:v>
      </x:c>
      <x:c r="F28" s="28" t="n">
        <x:f>SUM(F26:F27)</x:f>
        <x:v>3265.8557800873414</x:v>
      </x:c>
      <x:c r="G28" s="28" t="n">
        <x:f>SUM(G26:G27)</x:f>
        <x:v>2589.7984680542977</x:v>
      </x:c>
      <x:c r="H28" s="28" t="n">
        <x:f>SUM(H26:H27)</x:f>
        <x:v>1810.9753086736066</x:v>
      </x:c>
    </x:row>
    <x:row r="29">
      <x:c r="A29" s="2" t="str">
        <x:v>Opening cash</x:v>
      </x:c>
      <x:c r="B29" s="2"/>
      <x:c r="C29" s="2"/>
      <x:c r="D29" s="2" t="n">
        <x:f>Transaction!$B$22</x:f>
        <x:v>500</x:v>
      </x:c>
      <x:c r="E29" s="2" t="n">
        <x:f>D31</x:f>
        <x:v>595.0471699546799</x:v>
      </x:c>
      <x:c r="F29" s="2" t="n">
        <x:f>E31</x:f>
        <x:v>711.0240562731126</x:v>
      </x:c>
      <x:c r="G29" s="2" t="n">
        <x:f>F31</x:f>
        <x:v>848.8113024781645</x:v>
      </x:c>
      <x:c r="H29" s="2" t="n">
        <x:f>G31</x:f>
        <x:v>1009.8985879864255</x:v>
      </x:c>
    </x:row>
    <x:row r="30">
      <x:c r="A30" s="2" t="str">
        <x:v>Retained free cash flow</x:v>
      </x:c>
      <x:c r="B30" s="2"/>
      <x:c r="C30" s="2"/>
      <x:c r="D30" s="2" t="n">
        <x:f>D22-D25</x:f>
        <x:v>95.04716995467999</x:v>
      </x:c>
      <x:c r="E30" s="2" t="n">
        <x:f>E22-E25</x:f>
        <x:v>115.9768863184326</x:v>
      </x:c>
      <x:c r="F30" s="2" t="n">
        <x:f>F22-F25</x:f>
        <x:v>137.78724620505193</x:v>
      </x:c>
      <x:c r="G30" s="2" t="n">
        <x:f>G22-G25</x:f>
        <x:v>161.08728550826095</x:v>
      </x:c>
      <x:c r="H30" s="2" t="n">
        <x:f>H22-H25</x:f>
        <x:v>186.77874734517263</x:v>
      </x:c>
    </x:row>
    <x:row r="31">
      <x:c r="A31" s="28" t="str">
        <x:v>Closing cash</x:v>
      </x:c>
      <x:c r="B31" s="28"/>
      <x:c r="C31" s="28"/>
      <x:c r="D31" s="28" t="n">
        <x:f>SUM(D29:D30)</x:f>
        <x:v>595.0471699546799</x:v>
      </x:c>
      <x:c r="E31" s="28" t="n">
        <x:f>SUM(E29:E30)</x:f>
        <x:v>711.0240562731126</x:v>
      </x:c>
      <x:c r="F31" s="28" t="n">
        <x:f>SUM(F29:F30)</x:f>
        <x:v>848.8113024781645</x:v>
      </x:c>
      <x:c r="G31" s="28" t="n">
        <x:f>SUM(G29:G30)</x:f>
        <x:v>1009.8985879864255</x:v>
      </x:c>
      <x:c r="H31" s="28" t="n">
        <x:f>SUM(H29:H30)</x:f>
        <x:v>1196.677335331598</x:v>
      </x:c>
    </x:row>
    <x:row r="32">
      <x:c r="A32" s="28" t="str">
        <x:v>Net debt</x:v>
      </x:c>
      <x:c r="B32" s="28"/>
      <x:c r="C32" s="28"/>
      <x:c r="D32" s="28" t="n">
        <x:f>D28-D31</x:f>
        <x:v>3749.2814802266003</x:v>
      </x:c>
      <x:c r="E32" s="28" t="n">
        <x:f>E28-E31</x:f>
        <x:v>3137.688878634437</x:v>
      </x:c>
      <x:c r="F32" s="28" t="n">
        <x:f>F28-F31</x:f>
        <x:v>2417.0444776091767</x:v>
      </x:c>
      <x:c r="G32" s="28" t="n">
        <x:f>G28-G31</x:f>
        <x:v>1579.8998800678723</x:v>
      </x:c>
      <x:c r="H32" s="28" t="n">
        <x:f>H28-H31</x:f>
        <x:v>614.2979733420086</x:v>
      </x:c>
    </x:row>
    <x:row r="33">
      <x:c r="A33" s="2" t="str">
        <x:v>EBITDA / cash interest coverage</x:v>
      </x:c>
      <x:c r="B33" s="2"/>
      <x:c r="C33" s="2"/>
      <x:c r="D33" s="14" t="n">
        <x:f>D9/D16</x:f>
        <x:v>2.757329947455183</x:v>
      </x:c>
      <x:c r="E33" s="14" t="n">
        <x:f>E9/E16</x:f>
        <x:v>3.2844724363137474</x:v>
      </x:c>
      <x:c r="F33" s="14" t="n">
        <x:f>F9/F16</x:f>
        <x:v>3.9917387150770307</x:v>
      </x:c>
      <x:c r="G33" s="14" t="n">
        <x:f>G9/G16</x:f>
        <x:v>5.030863830049901</x:v>
      </x:c>
      <x:c r="H33" s="14" t="n">
        <x:f>H9/H16</x:f>
        <x:v>6.743672749272358</x:v>
      </x:c>
    </x:row>
    <x:row r="34">
      <x:c r="A34" s="2" t="str">
        <x:v>Gross debt / EBITDA</x:v>
      </x:c>
      <x:c r="B34" s="2"/>
      <x:c r="C34" s="2"/>
      <x:c r="D34" s="14" t="n">
        <x:f>D28/D9</x:f>
        <x:v>3.7501347959088367</x:v>
      </x:c>
      <x:c r="E34" s="14" t="n">
        <x:f>E28/E9</x:f>
        <x:v>3.0426468400544806</x:v>
      </x:c>
      <x:c r="F34" s="14" t="n">
        <x:f>F28/F9</x:f>
        <x:v>2.3853247069692074</x:v>
      </x:c>
      <x:c r="G34" s="14" t="n">
        <x:f>G28/G9</x:f>
        <x:v>1.754230228719063</x:v>
      </x:c>
      <x:c r="H34" s="14" t="n">
        <x:f>H28/H9</x:f>
        <x:v>1.1379627493642441</x:v>
      </x:c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9" t="str">
        <x:v>EXIT &amp; SPONSOR RETURNS</x:v>
      </x:c>
      <x:c r="B36" s="9"/>
      <x:c r="C36" s="9"/>
      <x:c r="D36" s="9"/>
      <x:c r="E36" s="9"/>
      <x:c r="F36" s="9"/>
      <x:c r="G36" s="9"/>
      <x:c r="H36" s="9"/>
    </x:row>
    <x:row r="37">
      <x:c r="A37" s="2" t="str">
        <x:v>Assumed exit EV / EBITDA</x:v>
      </x:c>
      <x:c r="B37" s="2"/>
      <x:c r="C37" s="2"/>
      <x:c r="D37" s="14" t="n">
        <x:f>Assumptions!$D$32</x:f>
        <x:v>9</x:v>
      </x:c>
      <x:c r="E37" s="14" t="n">
        <x:f>Assumptions!$D$32</x:f>
        <x:v>9</x:v>
      </x:c>
      <x:c r="F37" s="14" t="n">
        <x:f>Assumptions!$D$32</x:f>
        <x:v>9</x:v>
      </x:c>
      <x:c r="G37" s="14" t="n">
        <x:f>Assumptions!$D$32</x:f>
        <x:v>9</x:v>
      </x:c>
      <x:c r="H37" s="14" t="n">
        <x:f>Assumptions!$D$32</x:f>
        <x:v>9</x:v>
      </x:c>
    </x:row>
    <x:row r="38">
      <x:c r="A38" s="2" t="str">
        <x:v>Exit enterprise value</x:v>
      </x:c>
      <x:c r="B38" s="2"/>
      <x:c r="C38" s="2"/>
      <x:c r="D38" s="2" t="n">
        <x:f>D9*D37</x:f>
        <x:v>10426.013991360003</x:v>
      </x:c>
      <x:c r="E38" s="2" t="n">
        <x:f>E9*E37</x:f>
        <x:v>11384.303941612798</x:v>
      </x:c>
      <x:c r="F38" s="2" t="n">
        <x:f>F9*F37</x:f>
        <x:v>12322.30644947808</x:v>
      </x:c>
      <x:c r="G38" s="2" t="n">
        <x:f>G9*G37</x:f>
        <x:v>13286.84560948895</x:v>
      </x:c>
      <x:c r="H38" s="2" t="n">
        <x:f>H9*H37</x:f>
        <x:v>14322.769165483005</x:v>
      </x:c>
    </x:row>
    <x:row r="39">
      <x:c r="A39" s="28" t="str">
        <x:v>Exit sponsor equity</x:v>
      </x:c>
      <x:c r="B39" s="28"/>
      <x:c r="C39" s="28"/>
      <x:c r="D39" s="28" t="n">
        <x:f>D38-D28+D31</x:f>
        <x:v>6676.732511133403</x:v>
      </x:c>
      <x:c r="E39" s="28" t="n">
        <x:f>E38-E28+E31</x:f>
        <x:v>8246.61506297836</x:v>
      </x:c>
      <x:c r="F39" s="28" t="n">
        <x:f>F38-F28+F31</x:f>
        <x:v>9905.261971868904</x:v>
      </x:c>
      <x:c r="G39" s="28" t="n">
        <x:f>G38-G28+G31</x:f>
        <x:v>11706.945729421077</x:v>
      </x:c>
      <x:c r="H39" s="28" t="n">
        <x:f>H38-H28+H31</x:f>
        <x:v>13708.471192140996</x:v>
      </x:c>
    </x:row>
    <x:row r="40">
      <x:c r="A40" s="2" t="str">
        <x:v>Sponsor equity at entry</x:v>
      </x:c>
      <x:c r="B40" s="2"/>
      <x:c r="C40" s="2"/>
      <x:c r="D40" s="2" t="n">
        <x:f>Transaction!$B$35</x:f>
        <x:v>4212.130345</x:v>
      </x:c>
      <x:c r="E40" s="2" t="n">
        <x:f>Transaction!$B$35</x:f>
        <x:v>4212.130345</x:v>
      </x:c>
      <x:c r="F40" s="2" t="n">
        <x:f>Transaction!$B$35</x:f>
        <x:v>4212.130345</x:v>
      </x:c>
      <x:c r="G40" s="2" t="n">
        <x:f>Transaction!$B$35</x:f>
        <x:v>4212.130345</x:v>
      </x:c>
      <x:c r="H40" s="2" t="n">
        <x:f>Transaction!$B$35</x:f>
        <x:v>4212.130345</x:v>
      </x:c>
    </x:row>
    <x:row r="41">
      <x:c r="A41" s="28" t="str">
        <x:v>Sponsor MOIC</x:v>
      </x:c>
      <x:c r="B41" s="28"/>
      <x:c r="C41" s="28"/>
      <x:c r="D41" s="30" t="n">
        <x:f>D39/D40</x:f>
        <x:v>1.5851201088919302</x:v>
      </x:c>
      <x:c r="E41" s="30" t="n">
        <x:f>E39/E40</x:f>
        <x:v>1.9578252303534451</x:v>
      </x:c>
      <x:c r="F41" s="30" t="n">
        <x:f>F39/F40</x:f>
        <x:v>2.351603858514712</x:v>
      </x:c>
      <x:c r="G41" s="30" t="n">
        <x:f>G39/G40</x:f>
        <x:v>2.7793408015774683</x:v>
      </x:c>
      <x:c r="H41" s="30" t="n">
        <x:f>H39/H40</x:f>
        <x:v>3.2545220753706277</x:v>
      </x:c>
    </x:row>
    <x:row r="42">
      <x:c r="A42" s="28" t="str">
        <x:v>Gross sponsor IRR</x:v>
      </x:c>
      <x:c r="B42" s="28"/>
      <x:c r="C42" s="28"/>
      <x:c r="D42" s="32" t="n">
        <x:f>D41^(1/1)-1</x:f>
        <x:v>0.5851201088919302</x:v>
      </x:c>
      <x:c r="E42" s="32" t="n">
        <x:f>E41^(1/2)-1</x:f>
        <x:v>0.39922308098224457</x:v>
      </x:c>
      <x:c r="F42" s="32" t="n">
        <x:f>F41^(1/3)-1</x:f>
        <x:v>0.3298052852518325</x:v>
      </x:c>
      <x:c r="G42" s="32" t="n">
        <x:f>G41^(1/4)-1</x:f>
        <x:v>0.2911760173821978</x:v>
      </x:c>
      <x:c r="H42" s="32" t="n">
        <x:f>H41^(1/5)-1</x:f>
        <x:v>0.2661858164609934</x:v>
      </x:c>
    </x:row>
    <x:row r="43">
      <x:c r="A43" s="2" t="str">
        <x:v>IRR less 20% hurdle</x:v>
      </x:c>
      <x:c r="B43" s="2"/>
      <x:c r="C43" s="2"/>
      <x:c r="D43" s="12" t="n">
        <x:f>D42-Assumptions!$B$22</x:f>
        <x:v>0.3851201088919302</x:v>
      </x:c>
      <x:c r="E43" s="12" t="n">
        <x:f>E42-Assumptions!$B$22</x:f>
        <x:v>0.19922308098224456</x:v>
      </x:c>
      <x:c r="F43" s="12" t="n">
        <x:f>F42-Assumptions!$B$22</x:f>
        <x:v>0.1298052852518325</x:v>
      </x:c>
      <x:c r="G43" s="12" t="n">
        <x:f>G42-Assumptions!$B$22</x:f>
        <x:v>0.09117601738219777</x:v>
      </x:c>
      <x:c r="H43" s="12" t="n">
        <x:f>H42-Assumptions!$B$22</x:f>
        <x:v>0.06618581646099336</x:v>
      </x:c>
    </x:row>
    <x:row r="44">
      <x:c r="A44" s="2" t="str">
        <x:v>Cash bridge check</x:v>
      </x:c>
      <x:c r="B44" s="2"/>
      <x:c r="C44" s="2"/>
      <x:c r="D44" s="2" t="n">
        <x:f>D31-D29-D30</x:f>
        <x:v>-5.684341886080802e-14</x:v>
      </x:c>
      <x:c r="E44" s="2" t="n">
        <x:f>E31-E29-E30</x:f>
        <x:v>5.684341886080802e-14</x:v>
      </x:c>
      <x:c r="F44" s="2" t="n">
        <x:f>F31-F29-F30</x:f>
        <x:v>0</x:v>
      </x:c>
      <x:c r="G44" s="2" t="n">
        <x:f>G31-G29-G30</x:f>
        <x:v>0</x:v>
      </x:c>
      <x:c r="H44" s="2" t="n">
        <x:f>H31-H29-H30</x:f>
        <x:v>-1.1368683772161603e-13</x:v>
      </x:c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 t="str">
        <x:v>Cash interest on beginning-of-year debt; no revolver, M&amp;A outlays, OID, or tax shield limitation modeled.</x:v>
      </x:c>
      <x:c r="B47" s="2"/>
      <x:c r="C47" s="2"/>
      <x:c r="D47" s="2"/>
      <x:c r="E47" s="2"/>
      <x:c r="F47" s="2"/>
      <x:c r="G47" s="2"/>
      <x:c r="H47" s="2"/>
    </x:row>
    <x:row r="48">
      <x:c r="A48" s="2" t="str">
        <x:v>All non-mandatory debt paydown applies only to the first-lien term loan; senior notes mature as a bullet at exit.</x:v>
      </x:c>
      <x:c r="B48" s="2"/>
      <x:c r="C48" s="2"/>
      <x:c r="D48" s="2"/>
      <x:c r="E48" s="2"/>
      <x:c r="F48" s="2"/>
      <x:c r="G48" s="2"/>
      <x:c r="H48" s="2"/>
    </x:row>
    <x:row r="49">
      <x:c r="A49" s="2" t="str">
        <x:v>Closing cash accumulation may conceal intrayear seasonality / minimum cash needs; confirm with monthly liquidity diligence.</x:v>
      </x:c>
      <x:c r="B49" s="2"/>
      <x:c r="C49" s="2"/>
      <x:c r="D49" s="2"/>
      <x:c r="E49" s="2"/>
      <x:c r="F49" s="2"/>
      <x:c r="G49" s="2"/>
      <x:c r="H49" s="2"/>
    </x:row>
  </x:sheetData>
  <x:mergeCells>
    <x:mergeCell ref="A1:H2"/>
    <x:mergeCell ref="A5:H5"/>
    <x:mergeCell ref="A11:H11"/>
    <x:mergeCell ref="A19:H19"/>
    <x:mergeCell ref="A36:H3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5" t="str">
        <x:v>BASE OPERATIONS | PRICE PREMIUM vs EXIT MULTIPLE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Scenario: Base 2031 EBITDA, debt and cash; offer changes sponsor equity and deal fees only.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 t="str">
        <x:v>Premium / exit x</x:v>
      </x:c>
      <x:c r="B6" s="2"/>
      <x:c r="C6" s="2"/>
      <x:c r="D6" s="14" t="n">
        <x:v>6</x:v>
      </x:c>
      <x:c r="E6" s="14" t="n">
        <x:v>6.5</x:v>
      </x:c>
      <x:c r="F6" s="14" t="n">
        <x:v>7</x:v>
      </x:c>
      <x:c r="G6" s="14" t="n">
        <x:v>7.5</x:v>
      </x:c>
      <x:c r="H6" s="14" t="n">
        <x:v>8</x:v>
      </x:c>
      <x:c r="I6" s="14" t="n">
        <x:v>8.5</x:v>
      </x:c>
      <x:c r="J6" s="14" t="n">
        <x:v>9</x:v>
      </x:c>
    </x:row>
    <x:row r="7">
      <x:c r="A7" s="2"/>
      <x:c r="B7" s="12" t="n">
        <x:v>0.1</x:v>
      </x:c>
      <x:c r="C7" s="2"/>
      <x:c r="D7" s="12" t="n">
        <x:f>(('Base Case'!$H$9*D$6-'Base Case'!$H$28+'Base Case'!$H$31)/((Assumptions!$B$5*(1+$B7)*Assumptions!$B$6)+Transaction!$B$10+((Assumptions!$B$5*(1+$B7)*Assumptions!$B$6)+Transaction!$B$10-Transaction!$B$11)*Assumptions!$B$8+Transaction!$B$21+Transaction!$B$22-Transaction!$B$11-Transaction!$B$19))^(1/Assumptions!$B$21)-1</x:f>
        <x:v>0.16652292699433624</x:v>
      </x:c>
      <x:c r="E7" s="12" t="n">
        <x:f>(('Base Case'!$H$9*E$6-'Base Case'!$H$28+'Base Case'!$H$31)/((Assumptions!$B$5*(1+$B7)*Assumptions!$B$6)+Transaction!$B$10+((Assumptions!$B$5*(1+$B7)*Assumptions!$B$6)+Transaction!$B$10-Transaction!$B$11)*Assumptions!$B$8+Transaction!$B$21+Transaction!$B$22-Transaction!$B$11-Transaction!$B$19))^(1/Assumptions!$B$21)-1</x:f>
        <x:v>0.18821443464632548</x:v>
      </x:c>
      <x:c r="F7" s="12" t="n">
        <x:f>(('Base Case'!$H$9*F$6-'Base Case'!$H$28+'Base Case'!$H$31)/((Assumptions!$B$5*(1+$B7)*Assumptions!$B$6)+Transaction!$B$10+((Assumptions!$B$5*(1+$B7)*Assumptions!$B$6)+Transaction!$B$10-Transaction!$B$11)*Assumptions!$B$8+Transaction!$B$21+Transaction!$B$22-Transaction!$B$11-Transaction!$B$19))^(1/Assumptions!$B$21)-1</x:f>
        <x:v>0.2084287046470421</x:v>
      </x:c>
      <x:c r="G7" s="12" t="n">
        <x:f>(('Base Case'!$H$9*G$6-'Base Case'!$H$28+'Base Case'!$H$31)/((Assumptions!$B$5*(1+$B7)*Assumptions!$B$6)+Transaction!$B$10+((Assumptions!$B$5*(1+$B7)*Assumptions!$B$6)+Transaction!$B$10-Transaction!$B$11)*Assumptions!$B$8+Transaction!$B$21+Transaction!$B$22-Transaction!$B$11-Transaction!$B$19))^(1/Assumptions!$B$21)-1</x:f>
        <x:v>0.2273744645241027</x:v>
      </x:c>
      <x:c r="H7" s="12" t="n">
        <x:f>(('Base Case'!$H$9*H$6-'Base Case'!$H$28+'Base Case'!$H$31)/((Assumptions!$B$5*(1+$B7)*Assumptions!$B$6)+Transaction!$B$10+((Assumptions!$B$5*(1+$B7)*Assumptions!$B$6)+Transaction!$B$10-Transaction!$B$11)*Assumptions!$B$8+Transaction!$B$21+Transaction!$B$22-Transaction!$B$11-Transaction!$B$19))^(1/Assumptions!$B$21)-1</x:f>
        <x:v>0.24521788148964263</x:v>
      </x:c>
      <x:c r="I7" s="12" t="n">
        <x:f>(('Base Case'!$H$9*I$6-'Base Case'!$H$28+'Base Case'!$H$31)/((Assumptions!$B$5*(1+$B7)*Assumptions!$B$6)+Transaction!$B$10+((Assumptions!$B$5*(1+$B7)*Assumptions!$B$6)+Transaction!$B$10-Transaction!$B$11)*Assumptions!$B$8+Transaction!$B$21+Transaction!$B$22-Transaction!$B$11-Transaction!$B$19))^(1/Assumptions!$B$21)-1</x:f>
        <x:v>0.2620935455838407</x:v>
      </x:c>
      <x:c r="J7" s="12" t="n">
        <x:f>(('Base Case'!$H$9*J$6-'Base Case'!$H$28+'Base Case'!$H$31)/((Assumptions!$B$5*(1+$B7)*Assumptions!$B$6)+Transaction!$B$10+((Assumptions!$B$5*(1+$B7)*Assumptions!$B$6)+Transaction!$B$10-Transaction!$B$11)*Assumptions!$B$8+Transaction!$B$21+Transaction!$B$22-Transaction!$B$11-Transaction!$B$19))^(1/Assumptions!$B$21)-1</x:f>
        <x:v>0.2781120989539745</x:v>
      </x:c>
    </x:row>
    <x:row r="8">
      <x:c r="A8" s="2"/>
      <x:c r="B8" s="12" t="n">
        <x:v>0.15000000000000002</x:v>
      </x:c>
      <x:c r="C8" s="2"/>
      <x:c r="D8" s="12" t="n">
        <x:f>(('Base Case'!$H$9*D$6-'Base Case'!$H$28+'Base Case'!$H$31)/((Assumptions!$B$5*(1+$B8)*Assumptions!$B$6)+Transaction!$B$10+((Assumptions!$B$5*(1+$B8)*Assumptions!$B$6)+Transaction!$B$10-Transaction!$B$11)*Assumptions!$B$8+Transaction!$B$21+Transaction!$B$22-Transaction!$B$11-Transaction!$B$19))^(1/Assumptions!$B$21)-1</x:f>
        <x:v>0.14538484149983888</x:v>
      </x:c>
      <x:c r="E8" s="12" t="n">
        <x:f>(('Base Case'!$H$9*E$6-'Base Case'!$H$28+'Base Case'!$H$31)/((Assumptions!$B$5*(1+$B8)*Assumptions!$B$6)+Transaction!$B$10+((Assumptions!$B$5*(1+$B8)*Assumptions!$B$6)+Transaction!$B$10-Transaction!$B$11)*Assumptions!$B$8+Transaction!$B$21+Transaction!$B$22-Transaction!$B$11-Transaction!$B$19))^(1/Assumptions!$B$21)-1</x:f>
        <x:v>0.16668328620154904</x:v>
      </x:c>
      <x:c r="F8" s="12" t="n">
        <x:f>(('Base Case'!$H$9*F$6-'Base Case'!$H$28+'Base Case'!$H$31)/((Assumptions!$B$5*(1+$B8)*Assumptions!$B$6)+Transaction!$B$10+((Assumptions!$B$5*(1+$B8)*Assumptions!$B$6)+Transaction!$B$10-Transaction!$B$11)*Assumptions!$B$8+Transaction!$B$21+Transaction!$B$22-Transaction!$B$11-Transaction!$B$19))^(1/Assumptions!$B$21)-1</x:f>
        <x:v>0.1865312616720889</x:v>
      </x:c>
      <x:c r="G8" s="12" t="n">
        <x:f>(('Base Case'!$H$9*G$6-'Base Case'!$H$28+'Base Case'!$H$31)/((Assumptions!$B$5*(1+$B8)*Assumptions!$B$6)+Transaction!$B$10+((Assumptions!$B$5*(1+$B8)*Assumptions!$B$6)+Transaction!$B$10-Transaction!$B$11)*Assumptions!$B$8+Transaction!$B$21+Transaction!$B$22-Transaction!$B$11-Transaction!$B$19))^(1/Assumptions!$B$21)-1</x:f>
        <x:v>0.20513371317280105</x:v>
      </x:c>
      <x:c r="H8" s="12" t="n">
        <x:f>(('Base Case'!$H$9*H$6-'Base Case'!$H$28+'Base Case'!$H$31)/((Assumptions!$B$5*(1+$B8)*Assumptions!$B$6)+Transaction!$B$10+((Assumptions!$B$5*(1+$B8)*Assumptions!$B$6)+Transaction!$B$10-Transaction!$B$11)*Assumptions!$B$8+Transaction!$B$21+Transaction!$B$22-Transaction!$B$11-Transaction!$B$19))^(1/Assumptions!$B$21)-1</x:f>
        <x:v>0.2226537968676412</x:v>
      </x:c>
      <x:c r="I8" s="12" t="n">
        <x:f>(('Base Case'!$H$9*I$6-'Base Case'!$H$28+'Base Case'!$H$31)/((Assumptions!$B$5*(1+$B8)*Assumptions!$B$6)+Transaction!$B$10+((Assumptions!$B$5*(1+$B8)*Assumptions!$B$6)+Transaction!$B$10-Transaction!$B$11)*Assumptions!$B$8+Transaction!$B$21+Transaction!$B$22-Transaction!$B$11-Transaction!$B$19))^(1/Assumptions!$B$21)-1</x:f>
        <x:v>0.23922366394564287</x:v>
      </x:c>
      <x:c r="J8" s="12" t="n">
        <x:f>(('Base Case'!$H$9*J$6-'Base Case'!$H$28+'Base Case'!$H$31)/((Assumptions!$B$5*(1+$B8)*Assumptions!$B$6)+Transaction!$B$10+((Assumptions!$B$5*(1+$B8)*Assumptions!$B$6)+Transaction!$B$10-Transaction!$B$11)*Assumptions!$B$8+Transaction!$B$21+Transaction!$B$22-Transaction!$B$11-Transaction!$B$19))^(1/Assumptions!$B$21)-1</x:f>
        <x:v>0.2549519516529246</x:v>
      </x:c>
    </x:row>
    <x:row r="9">
      <x:c r="A9" s="2"/>
      <x:c r="B9" s="12" t="n">
        <x:v>0.2</x:v>
      </x:c>
      <x:c r="C9" s="2"/>
      <x:c r="D9" s="12" t="n">
        <x:f>(('Base Case'!$H$9*D$6-'Base Case'!$H$28+'Base Case'!$H$31)/((Assumptions!$B$5*(1+$B9)*Assumptions!$B$6)+Transaction!$B$10+((Assumptions!$B$5*(1+$B9)*Assumptions!$B$6)+Transaction!$B$10-Transaction!$B$11)*Assumptions!$B$8+Transaction!$B$21+Transaction!$B$22-Transaction!$B$11-Transaction!$B$19))^(1/Assumptions!$B$21)-1</x:f>
        <x:v>0.12635500667203714</x:v>
      </x:c>
      <x:c r="E9" s="12" t="n">
        <x:f>(('Base Case'!$H$9*E$6-'Base Case'!$H$28+'Base Case'!$H$31)/((Assumptions!$B$5*(1+$B9)*Assumptions!$B$6)+Transaction!$B$10+((Assumptions!$B$5*(1+$B9)*Assumptions!$B$6)+Transaction!$B$10-Transaction!$B$11)*Assumptions!$B$8+Transaction!$B$21+Transaction!$B$22-Transaction!$B$11-Transaction!$B$19))^(1/Assumptions!$B$21)-1</x:f>
        <x:v>0.1472995913696007</x:v>
      </x:c>
      <x:c r="F9" s="12" t="n">
        <x:f>(('Base Case'!$H$9*F$6-'Base Case'!$H$28+'Base Case'!$H$31)/((Assumptions!$B$5*(1+$B9)*Assumptions!$B$6)+Transaction!$B$10+((Assumptions!$B$5*(1+$B9)*Assumptions!$B$6)+Transaction!$B$10-Transaction!$B$11)*Assumptions!$B$8+Transaction!$B$21+Transaction!$B$22-Transaction!$B$11-Transaction!$B$19))^(1/Assumptions!$B$21)-1</x:f>
        <x:v>0.16681780545236435</x:v>
      </x:c>
      <x:c r="G9" s="12" t="n">
        <x:f>(('Base Case'!$H$9*G$6-'Base Case'!$H$28+'Base Case'!$H$31)/((Assumptions!$B$5*(1+$B9)*Assumptions!$B$6)+Transaction!$B$10+((Assumptions!$B$5*(1+$B9)*Assumptions!$B$6)+Transaction!$B$10-Transaction!$B$11)*Assumptions!$B$8+Transaction!$B$21+Transaction!$B$22-Transaction!$B$11-Transaction!$B$19))^(1/Assumptions!$B$21)-1</x:f>
        <x:v>0.18511118914754587</x:v>
      </x:c>
      <x:c r="H9" s="12" t="n">
        <x:f>(('Base Case'!$H$9*H$6-'Base Case'!$H$28+'Base Case'!$H$31)/((Assumptions!$B$5*(1+$B9)*Assumptions!$B$6)+Transaction!$B$10+((Assumptions!$B$5*(1+$B9)*Assumptions!$B$6)+Transaction!$B$10-Transaction!$B$11)*Assumptions!$B$8+Transaction!$B$21+Transaction!$B$22-Transaction!$B$11-Transaction!$B$19))^(1/Assumptions!$B$21)-1</x:f>
        <x:v>0.20234018788403652</x:v>
      </x:c>
      <x:c r="I9" s="12" t="n">
        <x:f>(('Base Case'!$H$9*I$6-'Base Case'!$H$28+'Base Case'!$H$31)/((Assumptions!$B$5*(1+$B9)*Assumptions!$B$6)+Transaction!$B$10+((Assumptions!$B$5*(1+$B9)*Assumptions!$B$6)+Transaction!$B$10-Transaction!$B$11)*Assumptions!$B$8+Transaction!$B$21+Transaction!$B$22-Transaction!$B$11-Transaction!$B$19))^(1/Assumptions!$B$21)-1</x:f>
        <x:v>0.21863475724358716</x:v>
      </x:c>
      <x:c r="J9" s="12" t="n">
        <x:f>(('Base Case'!$H$9*J$6-'Base Case'!$H$28+'Base Case'!$H$31)/((Assumptions!$B$5*(1+$B9)*Assumptions!$B$6)+Transaction!$B$10+((Assumptions!$B$5*(1+$B9)*Assumptions!$B$6)+Transaction!$B$10-Transaction!$B$11)*Assumptions!$B$8+Transaction!$B$21+Transaction!$B$22-Transaction!$B$11-Transaction!$B$19))^(1/Assumptions!$B$21)-1</x:f>
        <x:v>0.23410172953412078</x:v>
      </x:c>
    </x:row>
    <x:row r="10">
      <x:c r="A10" s="2"/>
      <x:c r="B10" s="12" t="n">
        <x:v>0.25</x:v>
      </x:c>
      <x:c r="C10" s="2"/>
      <x:c r="D10" s="12" t="n">
        <x:f>(('Base Case'!$H$9*D$6-'Base Case'!$H$28+'Base Case'!$H$31)/((Assumptions!$B$5*(1+$B10)*Assumptions!$B$6)+Transaction!$B$10+((Assumptions!$B$5*(1+$B10)*Assumptions!$B$6)+Transaction!$B$10-Transaction!$B$11)*Assumptions!$B$8+Transaction!$B$21+Transaction!$B$22-Transaction!$B$11-Transaction!$B$19))^(1/Assumptions!$B$21)-1</x:f>
        <x:v>0.10907736835904247</x:v>
      </x:c>
      <x:c r="E10" s="12" t="n">
        <x:f>(('Base Case'!$H$9*E$6-'Base Case'!$H$28+'Base Case'!$H$31)/((Assumptions!$B$5*(1+$B10)*Assumptions!$B$6)+Transaction!$B$10+((Assumptions!$B$5*(1+$B10)*Assumptions!$B$6)+Transaction!$B$10-Transaction!$B$11)*Assumptions!$B$8+Transaction!$B$21+Transaction!$B$22-Transaction!$B$11-Transaction!$B$19))^(1/Assumptions!$B$21)-1</x:f>
        <x:v>0.12970067516741768</x:v>
      </x:c>
      <x:c r="F10" s="12" t="n">
        <x:f>(('Base Case'!$H$9*F$6-'Base Case'!$H$28+'Base Case'!$H$31)/((Assumptions!$B$5*(1+$B10)*Assumptions!$B$6)+Transaction!$B$10+((Assumptions!$B$5*(1+$B10)*Assumptions!$B$6)+Transaction!$B$10-Transaction!$B$11)*Assumptions!$B$8+Transaction!$B$21+Transaction!$B$22-Transaction!$B$11-Transaction!$B$19))^(1/Assumptions!$B$21)-1</x:f>
        <x:v>0.14891949106626945</x:v>
      </x:c>
      <x:c r="G10" s="12" t="n">
        <x:f>(('Base Case'!$H$9*G$6-'Base Case'!$H$28+'Base Case'!$H$31)/((Assumptions!$B$5*(1+$B10)*Assumptions!$B$6)+Transaction!$B$10+((Assumptions!$B$5*(1+$B10)*Assumptions!$B$6)+Transaction!$B$10-Transaction!$B$11)*Assumptions!$B$8+Transaction!$B$21+Transaction!$B$22-Transaction!$B$11-Transaction!$B$19))^(1/Assumptions!$B$21)-1</x:f>
        <x:v>0.1669322647715863</x:v>
      </x:c>
      <x:c r="H10" s="12" t="n">
        <x:f>(('Base Case'!$H$9*H$6-'Base Case'!$H$28+'Base Case'!$H$31)/((Assumptions!$B$5*(1+$B10)*Assumptions!$B$6)+Transaction!$B$10+((Assumptions!$B$5*(1+$B10)*Assumptions!$B$6)+Transaction!$B$10-Transaction!$B$11)*Assumptions!$B$8+Transaction!$B$21+Transaction!$B$22-Transaction!$B$11-Transaction!$B$19))^(1/Assumptions!$B$21)-1</x:f>
        <x:v>0.18389698057161286</x:v>
      </x:c>
      <x:c r="I10" s="12" t="n">
        <x:f>(('Base Case'!$H$9*I$6-'Base Case'!$H$28+'Base Case'!$H$31)/((Assumptions!$B$5*(1+$B10)*Assumptions!$B$6)+Transaction!$B$10+((Assumptions!$B$5*(1+$B10)*Assumptions!$B$6)+Transaction!$B$10-Transaction!$B$11)*Assumptions!$B$8+Transaction!$B$21+Transaction!$B$22-Transaction!$B$11-Transaction!$B$19))^(1/Assumptions!$B$21)-1</x:f>
        <x:v>0.19994160060418187</x:v>
      </x:c>
      <x:c r="J10" s="12" t="n">
        <x:f>(('Base Case'!$H$9*J$6-'Base Case'!$H$28+'Base Case'!$H$31)/((Assumptions!$B$5*(1+$B10)*Assumptions!$B$6)+Transaction!$B$10+((Assumptions!$B$5*(1+$B10)*Assumptions!$B$6)+Transaction!$B$10-Transaction!$B$11)*Assumptions!$B$8+Transaction!$B$21+Transaction!$B$22-Transaction!$B$11-Transaction!$B$19))^(1/Assumptions!$B$21)-1</x:f>
        <x:v>0.2151713184310251</x:v>
      </x:c>
    </x:row>
    <x:row r="11">
      <x:c r="A11" s="2"/>
      <x:c r="B11" s="12" t="n">
        <x:v>0.30000000000000004</x:v>
      </x:c>
      <x:c r="C11" s="2"/>
      <x:c r="D11" s="12" t="n">
        <x:f>(('Base Case'!$H$9*D$6-'Base Case'!$H$28+'Base Case'!$H$31)/((Assumptions!$B$5*(1+$B11)*Assumptions!$B$6)+Transaction!$B$10+((Assumptions!$B$5*(1+$B11)*Assumptions!$B$6)+Transaction!$B$10-Transaction!$B$11)*Assumptions!$B$8+Transaction!$B$21+Transaction!$B$22-Transaction!$B$11-Transaction!$B$19))^(1/Assumptions!$B$21)-1</x:f>
        <x:v>0.09327712965910706</x:v>
      </x:c>
      <x:c r="E11" s="12" t="n">
        <x:f>(('Base Case'!$H$9*E$6-'Base Case'!$H$28+'Base Case'!$H$31)/((Assumptions!$B$5*(1+$B11)*Assumptions!$B$6)+Transaction!$B$10+((Assumptions!$B$5*(1+$B11)*Assumptions!$B$6)+Transaction!$B$10-Transaction!$B$11)*Assumptions!$B$8+Transaction!$B$21+Transaction!$B$22-Transaction!$B$11-Transaction!$B$19))^(1/Assumptions!$B$21)-1</x:f>
        <x:v>0.11360663084160749</x:v>
      </x:c>
      <x:c r="F11" s="12" t="n">
        <x:f>(('Base Case'!$H$9*F$6-'Base Case'!$H$28+'Base Case'!$H$31)/((Assumptions!$B$5*(1+$B11)*Assumptions!$B$6)+Transaction!$B$10+((Assumptions!$B$5*(1+$B11)*Assumptions!$B$6)+Transaction!$B$10-Transaction!$B$11)*Assumptions!$B$8+Transaction!$B$21+Transaction!$B$22-Transaction!$B$11-Transaction!$B$19))^(1/Assumptions!$B$21)-1</x:f>
        <x:v>0.13255164990049573</x:v>
      </x:c>
      <x:c r="G11" s="12" t="n">
        <x:f>(('Base Case'!$H$9*G$6-'Base Case'!$H$28+'Base Case'!$H$31)/((Assumptions!$B$5*(1+$B11)*Assumptions!$B$6)+Transaction!$B$10+((Assumptions!$B$5*(1+$B11)*Assumptions!$B$6)+Transaction!$B$10-Transaction!$B$11)*Assumptions!$B$8+Transaction!$B$21+Transaction!$B$22-Transaction!$B$11-Transaction!$B$19))^(1/Assumptions!$B$21)-1</x:f>
        <x:v>0.15030780839364466</x:v>
      </x:c>
      <x:c r="H11" s="12" t="n">
        <x:f>(('Base Case'!$H$9*H$6-'Base Case'!$H$28+'Base Case'!$H$31)/((Assumptions!$B$5*(1+$B11)*Assumptions!$B$6)+Transaction!$B$10+((Assumptions!$B$5*(1+$B11)*Assumptions!$B$6)+Transaction!$B$10-Transaction!$B$11)*Assumptions!$B$8+Transaction!$B$21+Transaction!$B$22-Transaction!$B$11-Transaction!$B$19))^(1/Assumptions!$B$21)-1</x:f>
        <x:v>0.16703083991918866</x:v>
      </x:c>
      <x:c r="I11" s="12" t="n">
        <x:f>(('Base Case'!$H$9*I$6-'Base Case'!$H$28+'Base Case'!$H$31)/((Assumptions!$B$5*(1+$B11)*Assumptions!$B$6)+Transaction!$B$10+((Assumptions!$B$5*(1+$B11)*Assumptions!$B$6)+Transaction!$B$10-Transaction!$B$11)*Assumptions!$B$8+Transaction!$B$21+Transaction!$B$22-Transaction!$B$11-Transaction!$B$19))^(1/Assumptions!$B$21)-1</x:f>
        <x:v>0.18284688362913437</x:v>
      </x:c>
      <x:c r="J11" s="12" t="n">
        <x:f>(('Base Case'!$H$9*J$6-'Base Case'!$H$28+'Base Case'!$H$31)/((Assumptions!$B$5*(1+$B11)*Assumptions!$B$6)+Transaction!$B$10+((Assumptions!$B$5*(1+$B11)*Assumptions!$B$6)+Transaction!$B$10-Transaction!$B$11)*Assumptions!$B$8+Transaction!$B$21+Transaction!$B$22-Transaction!$B$11-Transaction!$B$19))^(1/Assumptions!$B$21)-1</x:f>
        <x:v>0.19785963446714327</x:v>
      </x:c>
    </x:row>
    <x:row r="12">
      <x:c r="A12" s="2"/>
      <x:c r="B12" s="12" t="n">
        <x:v>0.35</x:v>
      </x:c>
      <x:c r="C12" s="2"/>
      <x:c r="D12" s="12" t="n">
        <x:f>(('Base Case'!$H$9*D$6-'Base Case'!$H$28+'Base Case'!$H$31)/((Assumptions!$B$5*(1+$B12)*Assumptions!$B$6)+Transaction!$B$10+((Assumptions!$B$5*(1+$B12)*Assumptions!$B$6)+Transaction!$B$10-Transaction!$B$11)*Assumptions!$B$8+Transaction!$B$21+Transaction!$B$22-Transaction!$B$11-Transaction!$B$19))^(1/Assumptions!$B$21)-1</x:f>
        <x:v>0.07873802525162943</x:v>
      </x:c>
      <x:c r="E12" s="12" t="n">
        <x:f>(('Base Case'!$H$9*E$6-'Base Case'!$H$28+'Base Case'!$H$31)/((Assumptions!$B$5*(1+$B12)*Assumptions!$B$6)+Transaction!$B$10+((Assumptions!$B$5*(1+$B12)*Assumptions!$B$6)+Transaction!$B$10-Transaction!$B$11)*Assumptions!$B$8+Transaction!$B$21+Transaction!$B$22-Transaction!$B$11-Transaction!$B$19))^(1/Assumptions!$B$21)-1</x:f>
        <x:v>0.09879717161536905</x:v>
      </x:c>
      <x:c r="F12" s="12" t="n">
        <x:f>(('Base Case'!$H$9*F$6-'Base Case'!$H$28+'Base Case'!$H$31)/((Assumptions!$B$5*(1+$B12)*Assumptions!$B$6)+Transaction!$B$10+((Assumptions!$B$5*(1+$B12)*Assumptions!$B$6)+Transaction!$B$10-Transaction!$B$11)*Assumptions!$B$8+Transaction!$B$21+Transaction!$B$22-Transaction!$B$11-Transaction!$B$19))^(1/Assumptions!$B$21)-1</x:f>
        <x:v>0.11749024759173365</x:v>
      </x:c>
      <x:c r="G12" s="12" t="n">
        <x:f>(('Base Case'!$H$9*G$6-'Base Case'!$H$28+'Base Case'!$H$31)/((Assumptions!$B$5*(1+$B12)*Assumptions!$B$6)+Transaction!$B$10+((Assumptions!$B$5*(1+$B12)*Assumptions!$B$6)+Transaction!$B$10-Transaction!$B$11)*Assumptions!$B$8+Transaction!$B$21+Transaction!$B$22-Transaction!$B$11-Transaction!$B$19))^(1/Assumptions!$B$21)-1</x:f>
        <x:v>0.13501027323694847</x:v>
      </x:c>
      <x:c r="H12" s="12" t="n">
        <x:f>(('Base Case'!$H$9*H$6-'Base Case'!$H$28+'Base Case'!$H$31)/((Assumptions!$B$5*(1+$B12)*Assumptions!$B$6)+Transaction!$B$10+((Assumptions!$B$5*(1+$B12)*Assumptions!$B$6)+Transaction!$B$10-Transaction!$B$11)*Assumptions!$B$8+Transaction!$B$21+Transaction!$B$22-Transaction!$B$11-Transaction!$B$19))^(1/Assumptions!$B$21)-1</x:f>
        <x:v>0.15151091110331572</x:v>
      </x:c>
      <x:c r="I12" s="12" t="n">
        <x:f>(('Base Case'!$H$9*I$6-'Base Case'!$H$28+'Base Case'!$H$31)/((Assumptions!$B$5*(1+$B12)*Assumptions!$B$6)+Transaction!$B$10+((Assumptions!$B$5*(1+$B12)*Assumptions!$B$6)+Transaction!$B$10-Transaction!$B$11)*Assumptions!$B$8+Transaction!$B$21+Transaction!$B$22-Transaction!$B$11-Transaction!$B$19))^(1/Assumptions!$B$21)-1</x:f>
        <x:v>0.1671166228630412</x:v>
      </x:c>
      <x:c r="J12" s="12" t="n">
        <x:f>(('Base Case'!$H$9*J$6-'Base Case'!$H$28+'Base Case'!$H$31)/((Assumptions!$B$5*(1+$B12)*Assumptions!$B$6)+Transaction!$B$10+((Assumptions!$B$5*(1+$B12)*Assumptions!$B$6)+Transaction!$B$10-Transaction!$B$11)*Assumptions!$B$8+Transaction!$B$21+Transaction!$B$22-Transaction!$B$11-Transaction!$B$19))^(1/Assumptions!$B$21)-1</x:f>
        <x:v>0.18192972445754574</x:v>
      </x:c>
    </x:row>
    <x:row r="13">
      <x:c r="A13" s="2"/>
      <x:c r="B13" s="12" t="n">
        <x:v>0.4</x:v>
      </x:c>
      <x:c r="C13" s="2"/>
      <x:c r="D13" s="12" t="n">
        <x:f>(('Base Case'!$H$9*D$6-'Base Case'!$H$28+'Base Case'!$H$31)/((Assumptions!$B$5*(1+$B13)*Assumptions!$B$6)+Transaction!$B$10+((Assumptions!$B$5*(1+$B13)*Assumptions!$B$6)+Transaction!$B$10-Transaction!$B$11)*Assumptions!$B$8+Transaction!$B$21+Transaction!$B$22-Transaction!$B$11-Transaction!$B$19))^(1/Assumptions!$B$21)-1</x:f>
        <x:v>0.06528697544573592</x:v>
      </x:c>
      <x:c r="E13" s="12" t="n">
        <x:f>(('Base Case'!$H$9*E$6-'Base Case'!$H$28+'Base Case'!$H$31)/((Assumptions!$B$5*(1+$B13)*Assumptions!$B$6)+Transaction!$B$10+((Assumptions!$B$5*(1+$B13)*Assumptions!$B$6)+Transaction!$B$10-Transaction!$B$11)*Assumptions!$B$8+Transaction!$B$21+Transaction!$B$22-Transaction!$B$11-Transaction!$B$19))^(1/Assumptions!$B$21)-1</x:f>
        <x:v>0.08509599937892576</x:v>
      </x:c>
      <x:c r="F13" s="12" t="n">
        <x:f>(('Base Case'!$H$9*F$6-'Base Case'!$H$28+'Base Case'!$H$31)/((Assumptions!$B$5*(1+$B13)*Assumptions!$B$6)+Transaction!$B$10+((Assumptions!$B$5*(1+$B13)*Assumptions!$B$6)+Transaction!$B$10-Transaction!$B$11)*Assumptions!$B$8+Transaction!$B$21+Transaction!$B$22-Transaction!$B$11-Transaction!$B$19))^(1/Assumptions!$B$21)-1</x:f>
        <x:v>0.10355598679245359</x:v>
      </x:c>
      <x:c r="G13" s="12" t="n">
        <x:f>(('Base Case'!$H$9*G$6-'Base Case'!$H$28+'Base Case'!$H$31)/((Assumptions!$B$5*(1+$B13)*Assumptions!$B$6)+Transaction!$B$10+((Assumptions!$B$5*(1+$B13)*Assumptions!$B$6)+Transaction!$B$10-Transaction!$B$11)*Assumptions!$B$8+Transaction!$B$21+Transaction!$B$22-Transaction!$B$11-Transaction!$B$19))^(1/Assumptions!$B$21)-1</x:f>
        <x:v>0.12085755092798034</x:v>
      </x:c>
      <x:c r="H13" s="12" t="n">
        <x:f>(('Base Case'!$H$9*H$6-'Base Case'!$H$28+'Base Case'!$H$31)/((Assumptions!$B$5*(1+$B13)*Assumptions!$B$6)+Transaction!$B$10+((Assumptions!$B$5*(1+$B13)*Assumptions!$B$6)+Transaction!$B$10-Transaction!$B$11)*Assumptions!$B$8+Transaction!$B$21+Transaction!$B$22-Transaction!$B$11-Transaction!$B$19))^(1/Assumptions!$B$21)-1</x:f>
        <x:v>0.1371524382816427</x:v>
      </x:c>
      <x:c r="I13" s="12" t="n">
        <x:f>(('Base Case'!$H$9*I$6-'Base Case'!$H$28+'Base Case'!$H$31)/((Assumptions!$B$5*(1+$B13)*Assumptions!$B$6)+Transaction!$B$10+((Assumptions!$B$5*(1+$B13)*Assumptions!$B$6)+Transaction!$B$10-Transaction!$B$11)*Assumptions!$B$8+Transaction!$B$21+Transaction!$B$22-Transaction!$B$11-Transaction!$B$19))^(1/Assumptions!$B$21)-1</x:f>
        <x:v>0.15256355858243875</x:v>
      </x:c>
      <x:c r="J13" s="12" t="n">
        <x:f>(('Base Case'!$H$9*J$6-'Base Case'!$H$28+'Base Case'!$H$31)/((Assumptions!$B$5*(1+$B13)*Assumptions!$B$6)+Transaction!$B$10+((Assumptions!$B$5*(1+$B13)*Assumptions!$B$6)+Transaction!$B$10-Transaction!$B$11)*Assumptions!$B$8+Transaction!$B$21+Transaction!$B$22-Transaction!$B$11-Transaction!$B$19))^(1/Assumptions!$B$21)-1</x:f>
        <x:v>0.1671919519691456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 t="str">
        <x:v>Sensitivity holds base forecast debt and cash constant across transaction premium changes.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 t="str">
        <x:v>Actual capital structure may flex with premium, ratings constraints, and credit-market pricing.</x:v>
      </x:c>
      <x:c r="B17" s="2"/>
      <x:c r="C17" s="2"/>
      <x:c r="D17" s="2"/>
      <x:c r="E17" s="2"/>
      <x:c r="F17" s="2"/>
      <x:c r="G17" s="2"/>
      <x:c r="H17" s="2"/>
      <x:c r="I17" s="2"/>
      <x:c r="J17" s="2"/>
    </x:row>
  </x:sheetData>
  <x:mergeCells>
    <x:mergeCell ref="A1:J2"/>
  </x:mergeCells>
  <x:conditionalFormatting sqref="D7:J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1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5" t="str">
        <x:v>SOURCES, LIMITATIONS AND AUDIT TRAIL</x:v>
      </x:c>
      <x:c r="B1" s="5"/>
      <x:c r="C1" s="5"/>
      <x:c r="D1" s="5"/>
      <x:c r="E1" s="5"/>
      <x:c r="F1" s="5"/>
      <x:c r="G1" s="2"/>
      <x:c r="H1" s="2"/>
    </x:row>
    <x:row r="2" ht="23" customHeight="1">
      <x:c r="A2" s="5"/>
      <x:c r="B2" s="5"/>
      <x:c r="C2" s="5"/>
      <x:c r="D2" s="5"/>
      <x:c r="E2" s="5"/>
      <x:c r="F2" s="5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 t="str">
        <x:v>FY2026 10-K (historic results, cash, debt, cash flow, capex)</x:v>
      </x:c>
      <x:c r="B5" s="2" t="str">
        <x:v>https://www.sec.gov/Archives/edgar/data/12659/000001265926000026/hrb-20260630.htm</x:v>
      </x:c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 t="str">
        <x:v>Q4 FY2026 earnings release (FY2027 revenue / adj EBITDA guidance)</x:v>
      </x:c>
      <x:c r="B7" s="2" t="str">
        <x:v>https://www.sec.gov/Archives/edgar/data/12659/000001265926000019/q4fy26earningsrelease.htm</x:v>
      </x:c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 t="str">
        <x:v>HRB 22 October 2026 close ($50.08)</x:v>
      </x:c>
      <x:c r="B9" s="2" t="str">
        <x:v>https://stockanalysis.com/stocks/hrb/history/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 t="str">
        <x:v>Shares outstanding 123.27 million, accessed Oct 23</x:v>
      </x:c>
      <x:c r="B11" s="2" t="str">
        <x:v>https://stockanalysis.com/stocks/hrb/statistics/</x:v>
      </x:c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 t="str">
        <x:v>Reported information cutoff</x:v>
      </x:c>
      <x:c r="B14" s="2" t="str">
        <x:v>October 22, 2026 (closing price); no future Q1 FY2027 results assumed.</x:v>
      </x:c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 t="str">
        <x:v>2027 base-case management guidance</x:v>
      </x:c>
      <x:c r="B16" s="2" t="str">
        <x:v>Revenue $4.11-4.16bn; adjusted EBITDA $1.11-1.14bn; midpoint used for 2027 base.</x:v>
      </x:c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 t="str">
        <x:v>Acquired cash</x:v>
      </x:c>
      <x:c r="B18" s="2" t="str">
        <x:v>Cash $958.7m at Jun 30 2026 including $238.6m at foreign subsidiaries; not all deployability verified.</x:v>
      </x:c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 t="str">
        <x:v>Financial debt</x:v>
      </x:c>
      <x:c r="B20" s="2" t="str">
        <x:v>FY2026 balance sheet debt $1,491.5m; operating lease obligations excluded.</x:v>
      </x:c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 t="str">
        <x:v>IRR hurdle / loan rates / offer premium</x:v>
      </x:c>
      <x:c r="B22" s="2" t="str">
        <x:v>Analyst assumptions; NOT facts about lender terms or board offer.</x:v>
      </x:c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 t="str">
        <x:v>Forward model / cash flows</x:v>
      </x:c>
      <x:c r="B24" s="2" t="str">
        <x:v>Annual simplification, ignores intrayear tax-season revolver, individual debt covenants, OID, and integration costs.</x:v>
      </x:c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 t="str">
        <x:v>Return type</x:v>
      </x:c>
      <x:c r="B26" s="2" t="str">
        <x:v>Five-year annualized gross sponsor equity IRR before fund fees, carry, financing funding timing.</x:v>
      </x:c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 t="str">
        <x:v>Market sensitivity</x:v>
      </x:c>
      <x:c r="B28" s="2" t="str">
        <x:v>Offer premium and exit multiple scenarios are illustrative; not market forecasts.</x:v>
      </x:c>
      <x:c r="C28" s="2"/>
      <x:c r="D28" s="2"/>
      <x:c r="E28" s="2"/>
      <x:c r="F28" s="2"/>
      <x:c r="G28" s="2"/>
      <x:c r="H28" s="2"/>
    </x:row>
  </x:sheetData>
  <x:mergeCells>
    <x:mergeCell ref="A1:F2"/>
  </x:mergeCells>
  <x:pageMargins left="0.7" right="0.7" top="0.75" bottom="0.75" header="0.3" footer="0.3"/>
</x:worksheet>
</file>